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4d110be402d225b/Desktop/Documents/"/>
    </mc:Choice>
  </mc:AlternateContent>
  <xr:revisionPtr revIDLastSave="645" documentId="8_{918EC377-9330-49D8-9712-0AF5005F8373}" xr6:coauthVersionLast="47" xr6:coauthVersionMax="47" xr10:uidLastSave="{2DD89AA3-0F94-4E3E-87D9-0D57EC67B412}"/>
  <bookViews>
    <workbookView xWindow="-90" yWindow="0" windowWidth="19380" windowHeight="20970" xr2:uid="{00000000-000D-0000-FFFF-FFFF00000000}"/>
  </bookViews>
  <sheets>
    <sheet name="Instructions" sheetId="1" r:id="rId1"/>
    <sheet name="Data" sheetId="2" r:id="rId2"/>
    <sheet name="Model" sheetId="3" r:id="rId3"/>
    <sheet name="Math (Referance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/>
  <c r="B17" i="3"/>
  <c r="B24" i="3" s="1"/>
  <c r="B19" i="3"/>
  <c r="B25" i="3"/>
  <c r="B41" i="3"/>
  <c r="B40" i="3"/>
  <c r="B33" i="3"/>
  <c r="B18" i="3"/>
  <c r="B16" i="3"/>
  <c r="B13" i="3"/>
  <c r="B23" i="3" s="1"/>
  <c r="B31" i="3" l="1"/>
  <c r="B32" i="3" s="1"/>
  <c r="B28" i="3"/>
  <c r="B29" i="3" s="1"/>
  <c r="B35" i="3" l="1"/>
  <c r="B36" i="3" s="1"/>
  <c r="D5" i="3" l="1"/>
  <c r="E6" i="3"/>
</calcChain>
</file>

<file path=xl/sharedStrings.xml><?xml version="1.0" encoding="utf-8"?>
<sst xmlns="http://schemas.openxmlformats.org/spreadsheetml/2006/main" count="58" uniqueCount="52">
  <si>
    <t>Demand (units/period)</t>
  </si>
  <si>
    <t>Notes</t>
  </si>
  <si>
    <t>Tip: leave blanks for missing values. Avoid typing 0 unless demand/lead time truly was zero.</t>
  </si>
  <si>
    <t>Kanban Calculations</t>
  </si>
  <si>
    <t>Blue/yellow cells are inputs you can change.</t>
  </si>
  <si>
    <t>Inputs</t>
  </si>
  <si>
    <t>Recommended Cards</t>
  </si>
  <si>
    <t>Demand basis</t>
  </si>
  <si>
    <t>Average</t>
  </si>
  <si>
    <t>Choose: Average or P90</t>
  </si>
  <si>
    <t>Lead time basis</t>
  </si>
  <si>
    <t>P90</t>
  </si>
  <si>
    <t>Choose: Average, P90, or Max</t>
  </si>
  <si>
    <t>Reorder point (units)</t>
  </si>
  <si>
    <t>Container size (units per card)</t>
  </si>
  <si>
    <t>Example: 20 units per bin/card</t>
  </si>
  <si>
    <t>Reminder</t>
  </si>
  <si>
    <t>Reminder: Kanban is discrete—round up to whole units/cards. If demand or lead time is volatile, use P90/Max lead time and/or higher safety.</t>
  </si>
  <si>
    <t>Safety method</t>
  </si>
  <si>
    <t>Service Level (Z)</t>
  </si>
  <si>
    <t>Choose: Percent or Service Level (Z)</t>
  </si>
  <si>
    <t>Safety factor (percent)</t>
  </si>
  <si>
    <t>Used only if Safety method = Percent (e.g., 0.10 = 10%)</t>
  </si>
  <si>
    <t>Service level (0–1)</t>
  </si>
  <si>
    <t>Used only if Safety method = Service Level (Z) (e.g., 0.95)</t>
  </si>
  <si>
    <t>Data summary (from Data sheet)</t>
  </si>
  <si>
    <t>Avg Demand</t>
  </si>
  <si>
    <t>auto</t>
  </si>
  <si>
    <t>P90 Demand</t>
  </si>
  <si>
    <t>Std Dev Demand</t>
  </si>
  <si>
    <t>Avg Lead Time</t>
  </si>
  <si>
    <t>P90 Lead Time</t>
  </si>
  <si>
    <t>Max Lead Time</t>
  </si>
  <si>
    <t>Std Dev Lead Time</t>
  </si>
  <si>
    <t>Chosen values (based on your inputs)</t>
  </si>
  <si>
    <t>Chosen Demand</t>
  </si>
  <si>
    <t>Chosen Lead Time</t>
  </si>
  <si>
    <t>Z (from service level)</t>
  </si>
  <si>
    <t>Lead-time demand &amp; sizing</t>
  </si>
  <si>
    <t>Expected lead-time demand (units)</t>
  </si>
  <si>
    <t>Planned lead-time demand (rounded up)</t>
  </si>
  <si>
    <t>Std Dev of demand during lead time (units)</t>
  </si>
  <si>
    <t>Safety stock (Z method, units)</t>
  </si>
  <si>
    <t>Safety stock (Percent method, units)</t>
  </si>
  <si>
    <t>Reorder point / Kanban base (units)</t>
  </si>
  <si>
    <t>Recommended Kanban cards (containers)</t>
  </si>
  <si>
    <t>Data quality checks</t>
  </si>
  <si>
    <t>Demand rows entered</t>
  </si>
  <si>
    <t>Lead time rows entered</t>
  </si>
  <si>
    <t>If counts are low (&lt;10), averages/percentiles may be unstable.</t>
  </si>
  <si>
    <t>Lead Time (periods)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</si>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</sst>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3"/>
      <name val="Calibri"/>
      <family val="2"/>
    </font>
    <font>
      <b/>
      <sz val="12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20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6666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E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/>
    <xf numFmtId="0" fontId="2" fillId="3" borderId="0" xfId="0" applyFont="1" applyFill="1" applyAlignment="1">
      <alignment horizontal="left" vertical="center"/>
    </xf>
    <xf numFmtId="0" fontId="2" fillId="3" borderId="1" xfId="0" applyFont="1" applyFill="1" applyBorder="1"/>
    <xf numFmtId="0" fontId="0" fillId="0" borderId="1" xfId="0" applyBorder="1"/>
    <xf numFmtId="0" fontId="5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0" fillId="5" borderId="1" xfId="0" applyNumberForma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top" wrapText="1"/>
    </xf>
    <xf numFmtId="10" fontId="5" fillId="4" borderId="1" xfId="0" applyNumberFormat="1" applyFont="1" applyFill="1" applyBorder="1" applyAlignment="1">
      <alignment horizontal="left" vertical="center"/>
    </xf>
    <xf numFmtId="0" fontId="4" fillId="0" borderId="1" xfId="0" applyFont="1" applyBorder="1"/>
    <xf numFmtId="165" fontId="0" fillId="0" borderId="1" xfId="0" applyNumberFormat="1" applyBorder="1"/>
    <xf numFmtId="1" fontId="0" fillId="0" borderId="1" xfId="0" applyNumberFormat="1" applyBorder="1"/>
    <xf numFmtId="0" fontId="2" fillId="3" borderId="0" xfId="0" applyFont="1" applyFill="1"/>
    <xf numFmtId="1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7" fillId="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2" fontId="0" fillId="0" borderId="1" xfId="0" applyNumberFormat="1" applyBorder="1" applyAlignment="1">
      <alignment horizontal="right" vertic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12700</xdr:rowOff>
    </xdr:from>
    <xdr:to>
      <xdr:col>27</xdr:col>
      <xdr:colOff>584200</xdr:colOff>
      <xdr:row>3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7BFF02-9863-1C66-24C1-B2C8EC664475}"/>
            </a:ext>
          </a:extLst>
        </xdr:cNvPr>
        <xdr:cNvSpPr txBox="1"/>
      </xdr:nvSpPr>
      <xdr:spPr>
        <a:xfrm>
          <a:off x="50800" y="12700"/>
          <a:ext cx="1704340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Kanban Lead-Time Demand &amp; Card Sizing Model</a:t>
          </a:r>
          <a:br>
            <a:rPr lang="en-US"/>
          </a:br>
          <a:r>
            <a:rPr lang="en-US" sz="2000" i="1"/>
            <a:t>(with service-level safety stock and </a:t>
          </a:r>
          <a:r>
            <a:rPr lang="en-US" sz="2000"/>
            <a:t>demand/lead-time variability</a:t>
          </a:r>
          <a:r>
            <a:rPr lang="en-US" sz="2000" i="1"/>
            <a:t>)</a:t>
          </a:r>
          <a:endParaRPr lang="en-US" sz="2000"/>
        </a:p>
      </xdr:txBody>
    </xdr:sp>
    <xdr:clientData/>
  </xdr:twoCellAnchor>
  <xdr:twoCellAnchor>
    <xdr:from>
      <xdr:col>0</xdr:col>
      <xdr:colOff>19050</xdr:colOff>
      <xdr:row>5</xdr:row>
      <xdr:rowOff>19050</xdr:rowOff>
    </xdr:from>
    <xdr:to>
      <xdr:col>16</xdr:col>
      <xdr:colOff>25400</xdr:colOff>
      <xdr:row>22</xdr:row>
      <xdr:rowOff>31750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ECD4A5-FCF9-A777-1C4A-6B9A6EFECC41}"/>
            </a:ext>
          </a:extLst>
        </xdr:cNvPr>
        <xdr:cNvSpPr txBox="1"/>
      </xdr:nvSpPr>
      <xdr:spPr>
        <a:xfrm>
          <a:off x="19050" y="1022350"/>
          <a:ext cx="9810750" cy="3143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Section 1 — What this is</a:t>
          </a:r>
        </a:p>
        <a:p>
          <a:r>
            <a:rPr lang="en-US" sz="1400" b="1"/>
            <a:t> </a:t>
          </a:r>
        </a:p>
        <a:p>
          <a:r>
            <a:rPr lang="en-US" sz="1400" b="1"/>
            <a:t>Purpose</a:t>
          </a:r>
          <a:br>
            <a:rPr lang="en-US" sz="1400"/>
          </a:br>
          <a:r>
            <a:rPr lang="en-US" sz="1400"/>
            <a:t>This workbook is a planning and sizing tool that estimates the recommended number of Kanban cards (containers) and the reorder point required to support a given demand and lead-time profile under a selected safety policy.</a:t>
          </a:r>
        </a:p>
        <a:p>
          <a:r>
            <a:rPr lang="en-US" sz="1400"/>
            <a:t>It supports inventory sizing and replenishment planning by translating observed demand and lead-time behavior into a discrete Kanban configuration.</a:t>
          </a:r>
        </a:p>
        <a:p>
          <a:endParaRPr lang="en-US" sz="1400"/>
        </a:p>
        <a:p>
          <a:r>
            <a:rPr lang="en-US" sz="1400"/>
            <a:t>It supports:</a:t>
          </a:r>
        </a:p>
        <a:p>
          <a:endParaRPr lang="en-US" sz="1400"/>
        </a:p>
        <a:p>
          <a:r>
            <a:rPr lang="en-US" sz="1400" b="1"/>
            <a:t> • Average or percentile-based demand estimates</a:t>
          </a:r>
        </a:p>
        <a:p>
          <a:r>
            <a:rPr lang="en-US" sz="1400" b="1"/>
            <a:t> • Average, P90, or maximum lead-time assumptions</a:t>
          </a:r>
        </a:p>
        <a:p>
          <a:r>
            <a:rPr lang="en-US" sz="1400" b="1"/>
            <a:t> • Safety stock based on either a fixed buffer or a statistical service-level (Z) approach</a:t>
          </a:r>
        </a:p>
        <a:p>
          <a:r>
            <a:rPr lang="en-US" sz="1400" b="1"/>
            <a:t> • Explicit consideration of variability in both demand and lead time</a:t>
          </a:r>
        </a:p>
      </xdr:txBody>
    </xdr:sp>
    <xdr:clientData/>
  </xdr:twoCellAnchor>
  <xdr:twoCellAnchor>
    <xdr:from>
      <xdr:col>0</xdr:col>
      <xdr:colOff>38100</xdr:colOff>
      <xdr:row>23</xdr:row>
      <xdr:rowOff>6350</xdr:rowOff>
    </xdr:from>
    <xdr:to>
      <xdr:col>16</xdr:col>
      <xdr:colOff>25400</xdr:colOff>
      <xdr:row>56</xdr:row>
      <xdr:rowOff>146050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736972-3DFD-98D8-0E55-5974ABA1B702}"/>
            </a:ext>
          </a:extLst>
        </xdr:cNvPr>
        <xdr:cNvSpPr txBox="1"/>
      </xdr:nvSpPr>
      <xdr:spPr>
        <a:xfrm>
          <a:off x="38100" y="4324350"/>
          <a:ext cx="9791700" cy="6216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Section 2 — How it works </a:t>
          </a:r>
        </a:p>
        <a:p>
          <a:r>
            <a:rPr lang="en-US" sz="1400" b="1"/>
            <a:t>Method Overview</a:t>
          </a:r>
        </a:p>
        <a:p>
          <a:endParaRPr lang="en-US" sz="1400" b="1"/>
        </a:p>
        <a:p>
          <a:r>
            <a:rPr lang="en-US" sz="1400"/>
            <a:t>This model follows a standard inventory-control logic adapted for Kanban sizing:</a:t>
          </a:r>
        </a:p>
        <a:p>
          <a:r>
            <a:rPr lang="en-US" sz="1400" b="1"/>
            <a:t> • </a:t>
          </a:r>
          <a:r>
            <a:rPr lang="en-US" sz="1400"/>
            <a:t>It estimates how much demand must be covered while waiting for replenishment (lead-time demand),</a:t>
          </a:r>
        </a:p>
        <a:p>
          <a:r>
            <a:rPr lang="en-US" sz="1400" b="1"/>
            <a:t> • </a:t>
          </a:r>
          <a:r>
            <a:rPr lang="en-US" sz="1400"/>
            <a:t>Adjusts that estimate upward to account for uncertainty (safety stock),</a:t>
          </a:r>
        </a:p>
        <a:p>
          <a:r>
            <a:rPr lang="en-US" sz="1400" b="1"/>
            <a:t> • </a:t>
          </a:r>
          <a:r>
            <a:rPr lang="en-US" sz="1400"/>
            <a:t>Then converts the total into a discrete number of Kanban containers.</a:t>
          </a:r>
        </a:p>
        <a:p>
          <a:r>
            <a:rPr lang="en-US" sz="1400" b="1"/>
            <a:t>Steps</a:t>
          </a:r>
        </a:p>
        <a:p>
          <a:r>
            <a:rPr lang="en-US" sz="1400" b="1"/>
            <a:t>• Estimate demand during lead time</a:t>
          </a:r>
        </a:p>
        <a:p>
          <a:r>
            <a:rPr lang="en-US" sz="1400"/>
            <a:t>The model multiplies the selected demand rate (average or P90) by the selected lead time (average, P90, or max) to estimate how many units are needed while waiting for replenishment.</a:t>
          </a:r>
          <a:endParaRPr lang="en-US" sz="1400" b="1"/>
        </a:p>
        <a:p>
          <a:endParaRPr lang="en-US" sz="1400" b="1"/>
        </a:p>
        <a:p>
          <a:r>
            <a:rPr lang="en-US" sz="1400" b="1"/>
            <a:t>• Estimate variability during lead time</a:t>
          </a:r>
        </a:p>
        <a:p>
          <a:r>
            <a:rPr lang="en-US" sz="1400"/>
            <a:t>The model combines demand variability and lead-time variability to estimate the standard deviation of demand during lead time.</a:t>
          </a:r>
        </a:p>
        <a:p>
          <a:endParaRPr lang="en-US" sz="1400" b="1"/>
        </a:p>
        <a:p>
          <a:r>
            <a:rPr lang="en-US" sz="1400" b="1"/>
            <a:t>• Compute safety stock using one of two methods</a:t>
          </a:r>
        </a:p>
        <a:p>
          <a:r>
            <a:rPr lang="en-US" sz="1400" b="0"/>
            <a:t>Either:</a:t>
          </a:r>
        </a:p>
        <a:p>
          <a:endParaRPr lang="en-US" sz="1400" b="0"/>
        </a:p>
        <a:p>
          <a:r>
            <a:rPr lang="en-US" sz="1400" b="1"/>
            <a:t>• </a:t>
          </a:r>
          <a:r>
            <a:rPr lang="en-US" sz="1400"/>
            <a:t>A fixed percent buffer on top of expected demand, or</a:t>
          </a:r>
          <a:r>
            <a:rPr lang="en-US" sz="1400" b="1"/>
            <a:t> </a:t>
          </a:r>
        </a:p>
        <a:p>
          <a:r>
            <a:rPr lang="en-US" sz="1400" b="1"/>
            <a:t>• </a:t>
          </a:r>
          <a:r>
            <a:rPr lang="en-US" sz="1400"/>
            <a:t>A statistical service-level approach using a Z-score (e.g., 95% service level).</a:t>
          </a:r>
          <a:endParaRPr lang="en-US" sz="1400" b="1"/>
        </a:p>
        <a:p>
          <a:endParaRPr lang="en-US" sz="1400"/>
        </a:p>
        <a:p>
          <a:r>
            <a:rPr lang="en-US" sz="1400" b="1"/>
            <a:t>• Compute the reorder point (Kanban base)</a:t>
          </a:r>
        </a:p>
        <a:p>
          <a:r>
            <a:rPr lang="en-US" sz="1400"/>
            <a:t>Safety stock is added to expected lead-time demand to determine the reorder point — the inventory level at which replenishment should be triggered.</a:t>
          </a:r>
        </a:p>
        <a:p>
          <a:endParaRPr lang="en-US" sz="1400" b="1"/>
        </a:p>
        <a:p>
          <a:r>
            <a:rPr lang="en-US" sz="1400" b="1"/>
            <a:t>• Determine the number of Kanban cards</a:t>
          </a:r>
        </a:p>
        <a:p>
          <a:r>
            <a:rPr lang="en-US" sz="1400"/>
            <a:t>The reorder point is divided by the container size (units per card), and the result is rounded up to ensure sufficient coverage. This gives the recommended number of Kanban cards.</a:t>
          </a:r>
          <a:endParaRPr lang="en-US" sz="1400" b="1"/>
        </a:p>
        <a:p>
          <a:endParaRPr lang="en-US" sz="1400"/>
        </a:p>
        <a:p>
          <a:endParaRPr lang="en-US" sz="1100"/>
        </a:p>
      </xdr:txBody>
    </xdr:sp>
    <xdr:clientData/>
  </xdr:twoCellAnchor>
  <xdr:twoCellAnchor>
    <xdr:from>
      <xdr:col>17</xdr:col>
      <xdr:colOff>6350</xdr:colOff>
      <xdr:row>4</xdr:row>
      <xdr:rowOff>177800</xdr:rowOff>
    </xdr:from>
    <xdr:to>
      <xdr:col>28</xdr:col>
      <xdr:colOff>0</xdr:colOff>
      <xdr:row>23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AC44A8F-04B3-F204-E262-F6D18353EC6F}"/>
            </a:ext>
          </a:extLst>
        </xdr:cNvPr>
        <xdr:cNvSpPr txBox="1"/>
      </xdr:nvSpPr>
      <xdr:spPr>
        <a:xfrm>
          <a:off x="10420350" y="996950"/>
          <a:ext cx="6699250" cy="349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Section 3 — How to use it</a:t>
          </a:r>
          <a:endParaRPr lang="en-US" sz="1400"/>
        </a:p>
        <a:p>
          <a:endParaRPr lang="en-US" sz="1400" b="1"/>
        </a:p>
        <a:p>
          <a:r>
            <a:rPr lang="en-US" sz="1400" b="1"/>
            <a:t>How to use</a:t>
          </a:r>
          <a:endParaRPr lang="en-US" sz="1400"/>
        </a:p>
        <a:p>
          <a:endParaRPr lang="en-US" sz="1400"/>
        </a:p>
        <a:p>
          <a:r>
            <a:rPr lang="en-US" sz="1400" b="1"/>
            <a:t>1. </a:t>
          </a:r>
          <a:r>
            <a:rPr lang="en-US" sz="1400"/>
            <a:t>Enter historical demand and lead-time observations on the </a:t>
          </a:r>
          <a:r>
            <a:rPr lang="en-US" sz="1400" b="1"/>
            <a:t>Data</a:t>
          </a:r>
          <a:r>
            <a:rPr lang="en-US" sz="1400"/>
            <a:t> sheet (one row per period, such as a day or a week). Leave cells blank if a value is missing.</a:t>
          </a:r>
        </a:p>
        <a:p>
          <a:r>
            <a:rPr lang="en-US" sz="1400" b="1"/>
            <a:t>2. </a:t>
          </a:r>
          <a:r>
            <a:rPr lang="en-US" sz="1400"/>
            <a:t>Go to the </a:t>
          </a:r>
          <a:r>
            <a:rPr lang="en-US" sz="1400" b="1"/>
            <a:t>Model</a:t>
          </a:r>
          <a:r>
            <a:rPr lang="en-US" sz="1400"/>
            <a:t> sheet and select:</a:t>
          </a:r>
        </a:p>
        <a:p>
          <a:r>
            <a:rPr lang="en-US" sz="1400"/>
            <a:t>     • Demand basis (Average or P90)</a:t>
          </a:r>
        </a:p>
        <a:p>
          <a:r>
            <a:rPr lang="en-US" sz="1400"/>
            <a:t>     •  Lead-time basis (Average, P90, or Max)</a:t>
          </a:r>
        </a:p>
        <a:p>
          <a:r>
            <a:rPr lang="en-US" sz="1400"/>
            <a:t>     • Container size (units per Kanban card, entered manually)</a:t>
          </a:r>
        </a:p>
        <a:p>
          <a:r>
            <a:rPr lang="en-US" sz="1400"/>
            <a:t>     • Safety method (Percent or Service Level Z)</a:t>
          </a:r>
        </a:p>
        <a:p>
          <a:r>
            <a:rPr lang="en-US" sz="1400" b="1"/>
            <a:t>3. </a:t>
          </a:r>
          <a:r>
            <a:rPr lang="en-US" sz="1400"/>
            <a:t>Review the calculated outputs:</a:t>
          </a:r>
        </a:p>
        <a:p>
          <a:r>
            <a:rPr lang="en-US" sz="1400"/>
            <a:t>     • Recommended number of Kanban cards</a:t>
          </a:r>
        </a:p>
        <a:p>
          <a:r>
            <a:rPr lang="en-US" sz="1400"/>
            <a:t>     • Reorder point (units)</a:t>
          </a:r>
        </a:p>
        <a:p>
          <a:r>
            <a:rPr lang="en-US" sz="1400" b="1"/>
            <a:t>4. </a:t>
          </a:r>
          <a:r>
            <a:rPr lang="en-US" sz="1400"/>
            <a:t>Adjust assumptions or inputs as needed to test different planning scenarios.</a:t>
          </a:r>
        </a:p>
      </xdr:txBody>
    </xdr:sp>
    <xdr:clientData/>
  </xdr:twoCellAnchor>
  <xdr:twoCellAnchor>
    <xdr:from>
      <xdr:col>17</xdr:col>
      <xdr:colOff>19050</xdr:colOff>
      <xdr:row>25</xdr:row>
      <xdr:rowOff>19050</xdr:rowOff>
    </xdr:from>
    <xdr:to>
      <xdr:col>28</xdr:col>
      <xdr:colOff>12700</xdr:colOff>
      <xdr:row>35</xdr:row>
      <xdr:rowOff>82550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58EB02-8B9E-8F07-BF45-674E1920BC3A}"/>
            </a:ext>
          </a:extLst>
        </xdr:cNvPr>
        <xdr:cNvSpPr txBox="1"/>
      </xdr:nvSpPr>
      <xdr:spPr>
        <a:xfrm>
          <a:off x="10433050" y="4705350"/>
          <a:ext cx="669925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Section 4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 </a:t>
          </a:r>
          <a:r>
            <a:rPr lang="en-US" sz="1600" b="1"/>
            <a:t>Assumptions &amp; limitations</a:t>
          </a:r>
        </a:p>
        <a:p>
          <a:endParaRPr lang="en-US" sz="1400"/>
        </a:p>
        <a:p>
          <a:r>
            <a:rPr lang="en-US" sz="1400"/>
            <a:t>• Demand and lead-time observations are assumed to be independent.</a:t>
          </a:r>
          <a:br>
            <a:rPr lang="en-US" sz="1400"/>
          </a:br>
          <a:r>
            <a:rPr lang="en-US" sz="1400"/>
            <a:t>• Periods are consistent (e.g., daily or weekly measurements are not mixed).</a:t>
          </a:r>
          <a:br>
            <a:rPr lang="en-US" sz="1400"/>
          </a:br>
          <a:r>
            <a:rPr lang="en-US" sz="1400"/>
            <a:t>• The model is intended for planning and scenario analysis, not for real-time operational execution.</a:t>
          </a:r>
          <a:br>
            <a:rPr lang="en-US" sz="1400"/>
          </a:br>
          <a:r>
            <a:rPr lang="en-US" sz="1400"/>
            <a:t>• Results are sensitive to the quality and representativeness of the historical data provided.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152400</xdr:rowOff>
    </xdr:from>
    <xdr:to>
      <xdr:col>22</xdr:col>
      <xdr:colOff>6350</xdr:colOff>
      <xdr:row>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6868F9-FF13-739F-7F66-62E6EEBB0A7D}"/>
            </a:ext>
          </a:extLst>
        </xdr:cNvPr>
        <xdr:cNvSpPr txBox="1"/>
      </xdr:nvSpPr>
      <xdr:spPr>
        <a:xfrm>
          <a:off x="38100" y="152400"/>
          <a:ext cx="13379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Model Formulas (Reference)</a:t>
          </a:r>
        </a:p>
      </xdr:txBody>
    </xdr:sp>
    <xdr:clientData/>
  </xdr:twoCellAnchor>
  <xdr:twoCellAnchor>
    <xdr:from>
      <xdr:col>0</xdr:col>
      <xdr:colOff>50800</xdr:colOff>
      <xdr:row>4</xdr:row>
      <xdr:rowOff>152400</xdr:rowOff>
    </xdr:from>
    <xdr:to>
      <xdr:col>10</xdr:col>
      <xdr:colOff>6350</xdr:colOff>
      <xdr:row>24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A67292-4459-4CFE-2FAE-4EE0CD54AFFA}"/>
            </a:ext>
          </a:extLst>
        </xdr:cNvPr>
        <xdr:cNvSpPr txBox="1"/>
      </xdr:nvSpPr>
      <xdr:spPr>
        <a:xfrm>
          <a:off x="50800" y="889000"/>
          <a:ext cx="6051550" cy="354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Section 1 — Symbols</a:t>
          </a:r>
        </a:p>
        <a:p>
          <a:endParaRPr lang="en-US" sz="14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u="none"/>
            <a:t>Symbol                                                           Meaning                                                        </a:t>
          </a:r>
        </a:p>
        <a:p>
          <a:endParaRPr lang="en-US" sz="1400" u="none"/>
        </a:p>
        <a:p>
          <a:r>
            <a:rPr lang="en-US" sz="1400" u="none"/>
            <a:t>D</a:t>
          </a:r>
          <a:r>
            <a:rPr lang="en-US" sz="1400" u="none" baseline="0"/>
            <a:t>                                                                     Demand per Period</a:t>
          </a:r>
          <a:r>
            <a:rPr lang="en-US" sz="1400" u="none"/>
            <a:t> (Average or P90)</a:t>
          </a:r>
        </a:p>
        <a:p>
          <a:r>
            <a:rPr lang="en-US" sz="1400" u="none"/>
            <a:t>L</a:t>
          </a:r>
          <a:r>
            <a:rPr lang="en-US" sz="1400" u="none" baseline="0"/>
            <a:t>                                                                      </a:t>
          </a:r>
          <a:r>
            <a:rPr lang="en-US" sz="1400" u="none"/>
            <a:t>Chosen lead time (Avg, P90, or Max)</a:t>
          </a:r>
        </a:p>
        <a:p>
          <a:r>
            <a:rPr lang="el-GR" sz="1400" u="none"/>
            <a:t>σ_</a:t>
          </a:r>
          <a:r>
            <a:rPr lang="en-US" sz="1400" u="none"/>
            <a:t>D                                                                 Std Dev of demand</a:t>
          </a:r>
        </a:p>
        <a:p>
          <a:r>
            <a:rPr lang="el-GR" sz="1400" u="none"/>
            <a:t>σ_</a:t>
          </a:r>
          <a:r>
            <a:rPr lang="en-US" sz="1400" u="none"/>
            <a:t>L                                                                  Std Dev of lead time</a:t>
          </a:r>
        </a:p>
        <a:p>
          <a:r>
            <a:rPr lang="en-US" sz="1400" u="none"/>
            <a:t>Z</a:t>
          </a:r>
          <a:r>
            <a:rPr lang="en-US" sz="1400" u="none" baseline="0"/>
            <a:t>                                                                      </a:t>
          </a:r>
          <a:r>
            <a:rPr lang="en-US" sz="1400" u="none"/>
            <a:t>Z-score from service level</a:t>
          </a:r>
        </a:p>
        <a:p>
          <a:r>
            <a:rPr lang="en-US" sz="1400" u="none"/>
            <a:t>C</a:t>
          </a:r>
          <a:r>
            <a:rPr lang="en-US" sz="1400" u="none" baseline="0"/>
            <a:t>                                                                      </a:t>
          </a:r>
          <a:r>
            <a:rPr lang="en-US" sz="1400" u="none"/>
            <a:t>Container size</a:t>
          </a:r>
        </a:p>
        <a:p>
          <a:r>
            <a:rPr lang="en-US" sz="1400" u="none"/>
            <a:t>LTD</a:t>
          </a:r>
          <a:r>
            <a:rPr lang="en-US" sz="1400" u="none" baseline="0"/>
            <a:t>                                                                  </a:t>
          </a:r>
          <a:r>
            <a:rPr lang="en-US" sz="1400" u="none"/>
            <a:t>Expected lead-time demand</a:t>
          </a:r>
        </a:p>
        <a:p>
          <a:r>
            <a:rPr lang="el-GR" sz="1400"/>
            <a:t>σ_</a:t>
          </a:r>
          <a:r>
            <a:rPr lang="en-US" sz="1400"/>
            <a:t>LT</a:t>
          </a:r>
          <a:r>
            <a:rPr lang="en-US" sz="1400" baseline="0"/>
            <a:t>                                                                </a:t>
          </a:r>
          <a:r>
            <a:rPr lang="en-US" sz="1400"/>
            <a:t>Std dev of demand during lead time</a:t>
          </a:r>
        </a:p>
        <a:p>
          <a:r>
            <a:rPr lang="en-US" sz="1400"/>
            <a:t>SS</a:t>
          </a:r>
          <a:r>
            <a:rPr lang="en-US" sz="1400" baseline="0"/>
            <a:t>                                                                    </a:t>
          </a:r>
          <a:r>
            <a:rPr lang="en-US" sz="1400"/>
            <a:t>Safety stock</a:t>
          </a:r>
        </a:p>
        <a:p>
          <a:r>
            <a:rPr lang="en-US" sz="1400"/>
            <a:t>ROP</a:t>
          </a:r>
          <a:r>
            <a:rPr lang="en-US" sz="1400" baseline="0"/>
            <a:t>                                                                 </a:t>
          </a:r>
          <a:r>
            <a:rPr lang="en-US" sz="1400"/>
            <a:t>Reorder point</a:t>
          </a:r>
        </a:p>
        <a:p>
          <a:r>
            <a:rPr lang="en-US" sz="1400"/>
            <a:t>N</a:t>
          </a:r>
          <a:r>
            <a:rPr lang="en-US" sz="1400" baseline="0"/>
            <a:t>                                                                     </a:t>
          </a:r>
          <a:r>
            <a:rPr lang="en-US" sz="1400"/>
            <a:t>Number of Kanban cards</a:t>
          </a:r>
        </a:p>
        <a:p>
          <a:endParaRPr lang="en-US" sz="1400" u="none"/>
        </a:p>
        <a:p>
          <a:endParaRPr lang="en-US" sz="1400"/>
        </a:p>
        <a:p>
          <a:endParaRPr lang="en-US" sz="1400"/>
        </a:p>
        <a:p>
          <a:endParaRPr lang="en-US" sz="1400"/>
        </a:p>
      </xdr:txBody>
    </xdr:sp>
    <xdr:clientData/>
  </xdr:twoCellAnchor>
  <xdr:twoCellAnchor>
    <xdr:from>
      <xdr:col>0</xdr:col>
      <xdr:colOff>44450</xdr:colOff>
      <xdr:row>25</xdr:row>
      <xdr:rowOff>12700</xdr:rowOff>
    </xdr:from>
    <xdr:to>
      <xdr:col>10</xdr:col>
      <xdr:colOff>6350</xdr:colOff>
      <xdr:row>55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429729-ADC1-062E-A3DB-29A260E0A6E2}"/>
            </a:ext>
          </a:extLst>
        </xdr:cNvPr>
        <xdr:cNvSpPr txBox="1"/>
      </xdr:nvSpPr>
      <xdr:spPr>
        <a:xfrm>
          <a:off x="44450" y="4616450"/>
          <a:ext cx="6057900" cy="551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Section 2 — Equations </a:t>
          </a:r>
        </a:p>
        <a:p>
          <a:endParaRPr lang="en-US" sz="1600"/>
        </a:p>
        <a:p>
          <a:r>
            <a:rPr lang="en-US" sz="1600"/>
            <a:t>Lead-time demand:</a:t>
          </a:r>
        </a:p>
        <a:p>
          <a:r>
            <a:rPr lang="en-US" sz="1600"/>
            <a:t>                                                      LTD = D * L</a:t>
          </a:r>
        </a:p>
        <a:p>
          <a:r>
            <a:rPr lang="en-US" sz="1600"/>
            <a:t>Variability during lead time:</a:t>
          </a:r>
        </a:p>
        <a:p>
          <a:r>
            <a:rPr lang="en-US" sz="1600"/>
            <a:t>                                                    </a:t>
          </a:r>
          <a:r>
            <a:rPr lang="el-GR" sz="1600"/>
            <a:t>σ_</a:t>
          </a:r>
          <a:r>
            <a:rPr lang="en-US" sz="1600"/>
            <a:t>LT = sqrt( L * </a:t>
          </a:r>
          <a:r>
            <a:rPr lang="el-GR" sz="1600"/>
            <a:t>σ_</a:t>
          </a:r>
          <a:r>
            <a:rPr lang="en-US" sz="1600"/>
            <a:t>D^2 + D^2 * </a:t>
          </a:r>
          <a:r>
            <a:rPr lang="el-GR" sz="1600"/>
            <a:t>σ_</a:t>
          </a:r>
          <a:r>
            <a:rPr lang="en-US" sz="1600"/>
            <a:t>L^2 )</a:t>
          </a:r>
        </a:p>
        <a:p>
          <a:r>
            <a:rPr lang="en-US" sz="1600"/>
            <a:t>Safety stock:</a:t>
          </a:r>
        </a:p>
        <a:p>
          <a:endParaRPr lang="en-US" sz="1600"/>
        </a:p>
        <a:p>
          <a:r>
            <a:rPr lang="en-US" sz="1600"/>
            <a:t>Percent method:</a:t>
          </a:r>
        </a:p>
        <a:p>
          <a:r>
            <a:rPr lang="en-US" sz="1600"/>
            <a:t>                                                   SS = p * LTD</a:t>
          </a:r>
        </a:p>
        <a:p>
          <a:endParaRPr lang="en-US" sz="1600"/>
        </a:p>
        <a:p>
          <a:r>
            <a:rPr lang="en-US" sz="1600"/>
            <a:t>Z-method:</a:t>
          </a:r>
        </a:p>
        <a:p>
          <a:r>
            <a:rPr lang="en-US" sz="1600"/>
            <a:t>                                                  SS = Z * </a:t>
          </a:r>
          <a:r>
            <a:rPr lang="el-GR" sz="1600"/>
            <a:t>σ_</a:t>
          </a:r>
          <a:r>
            <a:rPr lang="en-US" sz="1600"/>
            <a:t>LT</a:t>
          </a:r>
        </a:p>
        <a:p>
          <a:endParaRPr lang="en-US" sz="1600"/>
        </a:p>
        <a:p>
          <a:r>
            <a:rPr lang="en-US" sz="1600"/>
            <a:t>Reorder point:</a:t>
          </a:r>
        </a:p>
        <a:p>
          <a:r>
            <a:rPr lang="en-US" sz="1600"/>
            <a:t>                                                 ROP = LTD + SS</a:t>
          </a:r>
        </a:p>
        <a:p>
          <a:endParaRPr lang="en-US" sz="1600"/>
        </a:p>
        <a:p>
          <a:r>
            <a:rPr lang="en-US" sz="1600"/>
            <a:t>Kanban cards:</a:t>
          </a:r>
        </a:p>
        <a:p>
          <a:r>
            <a:rPr lang="en-US" sz="1600"/>
            <a:t>                                                N = ROUNDUP( ROP / C )</a:t>
          </a:r>
        </a:p>
        <a:p>
          <a:endParaRPr lang="en-US" sz="1600"/>
        </a:p>
        <a:p>
          <a:r>
            <a:rPr lang="en-US" sz="1400"/>
            <a:t>(Assumes demand and lead time are independent)</a:t>
          </a:r>
        </a:p>
      </xdr:txBody>
    </xdr:sp>
    <xdr:clientData/>
  </xdr:twoCellAnchor>
  <xdr:twoCellAnchor>
    <xdr:from>
      <xdr:col>11</xdr:col>
      <xdr:colOff>0</xdr:colOff>
      <xdr:row>4</xdr:row>
      <xdr:rowOff>165100</xdr:rowOff>
    </xdr:from>
    <xdr:to>
      <xdr:col>21</xdr:col>
      <xdr:colOff>603250</xdr:colOff>
      <xdr:row>43</xdr:row>
      <xdr:rowOff>177800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4296CD5-F14A-0AD0-EF5C-41CE018C459B}"/>
                </a:ext>
              </a:extLst>
            </xdr:cNvPr>
            <xdr:cNvSpPr txBox="1"/>
          </xdr:nvSpPr>
          <xdr:spPr>
            <a:xfrm>
              <a:off x="6705600" y="901700"/>
              <a:ext cx="6699250" cy="7194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/>
                <a:t>Section 3 — Worked example (using actual numbers)</a:t>
              </a:r>
            </a:p>
            <a:p>
              <a:r>
                <a:rPr lang="en-US" sz="1400" b="1"/>
                <a:t>The values below are from an example run with 20 observations; your results may differ depending on data and assumptions.</a:t>
              </a:r>
            </a:p>
            <a:p>
              <a:endParaRPr lang="en-US" sz="1400"/>
            </a:p>
            <a:p>
              <a:r>
                <a:rPr lang="en-US" sz="1400"/>
                <a:t>From your sheet:</a:t>
              </a:r>
            </a:p>
            <a:p>
              <a:endParaRPr lang="en-US" sz="1400"/>
            </a:p>
            <a:p>
              <a:r>
                <a:rPr lang="en-US" sz="1400"/>
                <a:t> • D = 20.35</a:t>
              </a:r>
            </a:p>
            <a:p>
              <a:r>
                <a:rPr lang="en-US" sz="1400"/>
                <a:t> • L = 5</a:t>
              </a:r>
            </a:p>
            <a:p>
              <a:r>
                <a:rPr lang="en-US" sz="1400"/>
                <a:t> • </a:t>
              </a:r>
              <a:r>
                <a:rPr lang="el-GR" sz="1400"/>
                <a:t>σ_</a:t>
              </a:r>
              <a:r>
                <a:rPr lang="en-US" sz="1400"/>
                <a:t>D = 2.1343</a:t>
              </a:r>
            </a:p>
            <a:p>
              <a:r>
                <a:rPr lang="en-US" sz="1400"/>
                <a:t> • </a:t>
              </a:r>
              <a:r>
                <a:rPr lang="el-GR" sz="1400"/>
                <a:t>σ_</a:t>
              </a:r>
              <a:r>
                <a:rPr lang="en-US" sz="1400"/>
                <a:t>L = 0.7452</a:t>
              </a:r>
            </a:p>
            <a:p>
              <a:r>
                <a:rPr lang="en-US" sz="1400"/>
                <a:t> •</a:t>
              </a:r>
              <a:r>
                <a:rPr lang="en-US" sz="1400" baseline="0"/>
                <a:t> </a:t>
              </a:r>
              <a:r>
                <a:rPr lang="en-US" sz="1400"/>
                <a:t>Z = 1.6449</a:t>
              </a:r>
            </a:p>
            <a:p>
              <a:r>
                <a:rPr lang="en-US" sz="1400"/>
                <a:t> • C = 20</a:t>
              </a:r>
            </a:p>
            <a:p>
              <a:endParaRPr lang="en-US" sz="1400"/>
            </a:p>
            <a:p>
              <a:r>
                <a:rPr lang="en-US" sz="1400"/>
                <a:t>Then:</a:t>
              </a:r>
            </a:p>
            <a:p>
              <a:endParaRPr lang="en-US" sz="1400"/>
            </a:p>
            <a:p>
              <a:r>
                <a:rPr lang="en-US" sz="1400"/>
                <a:t>Lead-time demand: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𝐿𝑇𝐷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20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35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101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75</m:t>
                    </m:r>
                  </m:oMath>
                </m:oMathPara>
              </a14:m>
              <a:endParaRPr lang="en-US" sz="1400"/>
            </a:p>
            <a:p>
              <a:endParaRPr lang="en-US" sz="1400"/>
            </a:p>
            <a:p>
              <a:r>
                <a:rPr lang="en-US" sz="1400"/>
                <a:t>Std dev during lead time: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ar-AE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𝐿𝑇</m:t>
                        </m:r>
                      </m:sub>
                    </m:sSub>
                    <m:r>
                      <a:rPr lang="ar-AE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ar-AE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ar-AE" sz="14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1343</m:t>
                            </m:r>
                          </m:e>
                          <m:sup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ar-AE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ar-AE" sz="14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20</m:t>
                            </m:r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35</m:t>
                            </m:r>
                          </m:e>
                          <m:sup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ar-AE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ar-AE" sz="14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7452</m:t>
                            </m:r>
                          </m:e>
                          <m:sup>
                            <m:r>
                              <a:rPr lang="ar-AE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ar-AE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15</m:t>
                    </m:r>
                    <m:r>
                      <a:rPr lang="ar-AE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ar-AE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897</m:t>
                    </m:r>
                  </m:oMath>
                </m:oMathPara>
              </a14:m>
              <a:endParaRPr lang="ar-AE" sz="1400"/>
            </a:p>
            <a:p>
              <a:endParaRPr lang="en-US" sz="1400"/>
            </a:p>
            <a:p>
              <a:r>
                <a:rPr lang="en-US" sz="1400"/>
                <a:t>Safety stock: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𝑆𝑆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6449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15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897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26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15</m:t>
                    </m:r>
                  </m:oMath>
                </m:oMathPara>
              </a14:m>
              <a:endParaRPr lang="en-US" sz="1400"/>
            </a:p>
            <a:p>
              <a:endParaRPr lang="en-US" sz="1400"/>
            </a:p>
            <a:p>
              <a:r>
                <a:rPr lang="en-US" sz="1400"/>
                <a:t>Reorder point: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𝑅𝑂𝑃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101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75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26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15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127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90</m:t>
                    </m:r>
                    <m:r>
                      <m:rPr>
                        <m:nor/>
                      </m:rPr>
                      <a:rPr lang="en-US" sz="14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ctrlPr>
                          <a:rPr lang="ar-AE" sz="14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m:rPr>
                            <m:nor/>
                          </m:rPr>
                          <a:rPr lang="ar-AE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≈ 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your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128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.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15 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depending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on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400"/>
                          <m:t>internal</m:t>
                        </m:r>
                        <m:r>
                          <m:rPr>
                            <m:nor/>
                          </m:rPr>
                          <a:rPr lang="en-US" sz="1400"/>
                          <m:t> </m:t>
                        </m:r>
                        <m:r>
                          <m:rPr>
                            <m:nor/>
                          </m:rPr>
                          <a:rPr lang="en-US" sz="1400"/>
                          <m:t>precision</m:t>
                        </m:r>
                        <m:r>
                          <m:rPr>
                            <m:nor/>
                          </m:rPr>
                          <a:rPr lang="en-US" sz="14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ar-AE" sz="1400" b="0"/>
            </a:p>
            <a:p>
              <a:endParaRPr lang="en-US" sz="1400"/>
            </a:p>
            <a:p>
              <a:r>
                <a:rPr lang="en-US" sz="1400"/>
                <a:t>Cards:</a:t>
              </a:r>
            </a:p>
            <a:p>
              <a:r>
                <a:rPr lang="en-US" sz="1400"/>
                <a:t>                             N = ROUNDUP(128.15 / 20) = 7</a:t>
              </a:r>
            </a:p>
            <a:p>
              <a:endParaRPr lang="en-US" sz="1400"/>
            </a:p>
            <a:p>
              <a:r>
                <a:rPr lang="en-US" sz="1400"/>
                <a:t>(You can adjust to match your exact displayed values.)</a:t>
              </a:r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4296CD5-F14A-0AD0-EF5C-41CE018C459B}"/>
                </a:ext>
              </a:extLst>
            </xdr:cNvPr>
            <xdr:cNvSpPr txBox="1"/>
          </xdr:nvSpPr>
          <xdr:spPr>
            <a:xfrm>
              <a:off x="6705600" y="901700"/>
              <a:ext cx="6699250" cy="7194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/>
                <a:t>Section 3 — Worked example (using actual numbers)</a:t>
              </a:r>
            </a:p>
            <a:p>
              <a:r>
                <a:rPr lang="en-US" sz="1400" b="1"/>
                <a:t>The values below are from an example run with 20 observations; your results may differ depending on data and assumptions.</a:t>
              </a:r>
            </a:p>
            <a:p>
              <a:endParaRPr lang="en-US" sz="1400"/>
            </a:p>
            <a:p>
              <a:r>
                <a:rPr lang="en-US" sz="1400"/>
                <a:t>From your sheet:</a:t>
              </a:r>
            </a:p>
            <a:p>
              <a:endParaRPr lang="en-US" sz="1400"/>
            </a:p>
            <a:p>
              <a:r>
                <a:rPr lang="en-US" sz="1400"/>
                <a:t> • D = 20.35</a:t>
              </a:r>
            </a:p>
            <a:p>
              <a:r>
                <a:rPr lang="en-US" sz="1400"/>
                <a:t> • L = 5</a:t>
              </a:r>
            </a:p>
            <a:p>
              <a:r>
                <a:rPr lang="en-US" sz="1400"/>
                <a:t> • </a:t>
              </a:r>
              <a:r>
                <a:rPr lang="el-GR" sz="1400"/>
                <a:t>σ_</a:t>
              </a:r>
              <a:r>
                <a:rPr lang="en-US" sz="1400"/>
                <a:t>D = 2.1343</a:t>
              </a:r>
            </a:p>
            <a:p>
              <a:r>
                <a:rPr lang="en-US" sz="1400"/>
                <a:t> • </a:t>
              </a:r>
              <a:r>
                <a:rPr lang="el-GR" sz="1400"/>
                <a:t>σ_</a:t>
              </a:r>
              <a:r>
                <a:rPr lang="en-US" sz="1400"/>
                <a:t>L = 0.7452</a:t>
              </a:r>
            </a:p>
            <a:p>
              <a:r>
                <a:rPr lang="en-US" sz="1400"/>
                <a:t> •</a:t>
              </a:r>
              <a:r>
                <a:rPr lang="en-US" sz="1400" baseline="0"/>
                <a:t> </a:t>
              </a:r>
              <a:r>
                <a:rPr lang="en-US" sz="1400"/>
                <a:t>Z = 1.6449</a:t>
              </a:r>
            </a:p>
            <a:p>
              <a:r>
                <a:rPr lang="en-US" sz="1400"/>
                <a:t> • C = 20</a:t>
              </a:r>
            </a:p>
            <a:p>
              <a:endParaRPr lang="en-US" sz="1400"/>
            </a:p>
            <a:p>
              <a:r>
                <a:rPr lang="en-US" sz="1400"/>
                <a:t>Then:</a:t>
              </a:r>
            </a:p>
            <a:p>
              <a:endParaRPr lang="en-US" sz="1400"/>
            </a:p>
            <a:p>
              <a:r>
                <a:rPr lang="en-US" sz="1400"/>
                <a:t>Lead-time demand:</a:t>
              </a:r>
            </a:p>
            <a:p>
              <a:pPr/>
              <a:r>
                <a:rPr lang="en-US" sz="14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𝐿𝑇𝐷=20.35×5=101.75</a:t>
              </a:r>
              <a:endParaRPr lang="en-US" sz="1400"/>
            </a:p>
            <a:p>
              <a:endParaRPr lang="en-US" sz="1400"/>
            </a:p>
            <a:p>
              <a:r>
                <a:rPr lang="en-US" sz="1400"/>
                <a:t>Std dev during lead time:</a:t>
              </a:r>
            </a:p>
            <a:p>
              <a:pPr/>
              <a:r>
                <a:rPr lang="ar-AE" sz="14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𝜎_𝐿𝑇=√(5⋅〖2.1343〗^2+〖20.35〗^2⋅〖0.7452〗^2 )≈15.897</a:t>
              </a:r>
              <a:endParaRPr lang="ar-AE" sz="1400"/>
            </a:p>
            <a:p>
              <a:endParaRPr lang="en-US" sz="1400"/>
            </a:p>
            <a:p>
              <a:r>
                <a:rPr lang="en-US" sz="1400"/>
                <a:t>Safety stock:</a:t>
              </a:r>
            </a:p>
            <a:p>
              <a:pPr/>
              <a:r>
                <a:rPr lang="en-US" sz="14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𝑆𝑆=1.6449×15.897≈26.15</a:t>
              </a:r>
              <a:endParaRPr lang="en-US" sz="1400"/>
            </a:p>
            <a:p>
              <a:endParaRPr lang="en-US" sz="1400"/>
            </a:p>
            <a:p>
              <a:r>
                <a:rPr lang="en-US" sz="1400"/>
                <a:t>Reorder point:</a:t>
              </a:r>
            </a:p>
            <a:p>
              <a:pPr/>
              <a:r>
                <a:rPr lang="en-US" sz="14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𝑅𝑂𝑃=101.75+26.15=127.90</a:t>
              </a:r>
              <a:r>
                <a:rPr lang="en-US" sz="14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ar-AE" sz="14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(</a:t>
              </a:r>
              <a:r>
                <a:rPr lang="ar-AE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"≈ </a:t>
              </a:r>
              <a:r>
                <a:rPr lang="en-US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your 128.15 depending on </a:t>
              </a:r>
              <a:r>
                <a:rPr lang="en-US" sz="1400" i="0"/>
                <a:t>internal precision</a:t>
              </a:r>
              <a:r>
                <a:rPr lang="en-US" sz="14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)</a:t>
              </a:r>
              <a:endParaRPr lang="ar-AE" sz="1400" b="0"/>
            </a:p>
            <a:p>
              <a:endParaRPr lang="en-US" sz="1400"/>
            </a:p>
            <a:p>
              <a:r>
                <a:rPr lang="en-US" sz="1400"/>
                <a:t>Cards:</a:t>
              </a:r>
            </a:p>
            <a:p>
              <a:r>
                <a:rPr lang="en-US" sz="1400"/>
                <a:t>                             N = ROUNDUP(128.15 / 20) = 7</a:t>
              </a:r>
            </a:p>
            <a:p>
              <a:endParaRPr lang="en-US" sz="1400"/>
            </a:p>
            <a:p>
              <a:r>
                <a:rPr lang="en-US" sz="1400"/>
                <a:t>(You can adjust to match your exact displayed values.)</a:t>
              </a:r>
            </a:p>
            <a:p>
              <a:endParaRPr lang="en-US" sz="1100"/>
            </a:p>
          </xdr:txBody>
        </xdr:sp>
      </mc:Fallback>
    </mc:AlternateContent>
    <xdr:clientData/>
  </xdr:twoCellAnchor>
  <xdr:twoCellAnchor>
    <xdr:from>
      <xdr:col>11</xdr:col>
      <xdr:colOff>6350</xdr:colOff>
      <xdr:row>45</xdr:row>
      <xdr:rowOff>19050</xdr:rowOff>
    </xdr:from>
    <xdr:to>
      <xdr:col>22</xdr:col>
      <xdr:colOff>19050</xdr:colOff>
      <xdr:row>54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4BCDAE-6FBF-E5D4-4CFB-7C4BD72AD721}"/>
            </a:ext>
          </a:extLst>
        </xdr:cNvPr>
        <xdr:cNvSpPr txBox="1"/>
      </xdr:nvSpPr>
      <xdr:spPr>
        <a:xfrm>
          <a:off x="6711950" y="8305800"/>
          <a:ext cx="6718300" cy="180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Section 4 — Assumptions</a:t>
          </a:r>
        </a:p>
        <a:p>
          <a:endParaRPr lang="en-US" sz="1400"/>
        </a:p>
        <a:p>
          <a:r>
            <a:rPr lang="en-US" sz="1400"/>
            <a:t>• Demand and lead time are independent</a:t>
          </a:r>
        </a:p>
        <a:p>
          <a:r>
            <a:rPr lang="en-US" sz="1400"/>
            <a:t>• Periods are consistent</a:t>
          </a:r>
        </a:p>
        <a:p>
          <a:r>
            <a:rPr lang="en-US" sz="1400"/>
            <a:t>• This is a planning model, not a real-time execution system</a:t>
          </a:r>
        </a:p>
        <a:p>
          <a:r>
            <a:rPr lang="en-US" sz="1400"/>
            <a:t>• Results depend on data quality</a:t>
          </a:r>
        </a:p>
        <a:p>
          <a:r>
            <a:rPr lang="en-US" sz="1400"/>
            <a:t>• This model assumes stable process behavior over the historical window.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S40" sqref="S40"/>
    </sheetView>
  </sheetViews>
  <sheetFormatPr defaultRowHeight="14.5" x14ac:dyDescent="0.35"/>
  <cols>
    <col min="1" max="1" width="9.453125" customWidth="1"/>
  </cols>
  <sheetData>
    <row r="1" spans="1:1" ht="17.5" customHeight="1" x14ac:dyDescent="0.7">
      <c r="A1" s="23"/>
    </row>
    <row r="2" spans="1:1" ht="14.5" customHeight="1" x14ac:dyDescent="0.55000000000000004">
      <c r="A2" s="24"/>
    </row>
    <row r="3" spans="1:1" ht="17" x14ac:dyDescent="0.4">
      <c r="A3" s="2"/>
    </row>
    <row r="4" spans="1:1" ht="15.5" x14ac:dyDescent="0.35">
      <c r="A4" s="25"/>
    </row>
    <row r="5" spans="1:1" x14ac:dyDescent="0.35">
      <c r="A5" s="26"/>
    </row>
    <row r="6" spans="1:1" x14ac:dyDescent="0.35">
      <c r="A6" s="27"/>
    </row>
    <row r="7" spans="1:1" x14ac:dyDescent="0.35">
      <c r="A7" s="26"/>
    </row>
    <row r="8" spans="1:1" x14ac:dyDescent="0.35">
      <c r="A8" s="26"/>
    </row>
    <row r="9" spans="1:1" x14ac:dyDescent="0.35">
      <c r="A9" s="26"/>
    </row>
    <row r="10" spans="1:1" x14ac:dyDescent="0.35">
      <c r="A10" s="28"/>
    </row>
    <row r="11" spans="1:1" x14ac:dyDescent="0.35">
      <c r="A11" s="28"/>
    </row>
    <row r="12" spans="1:1" x14ac:dyDescent="0.35">
      <c r="A12" s="28"/>
    </row>
    <row r="13" spans="1:1" x14ac:dyDescent="0.35">
      <c r="A13" s="28"/>
    </row>
    <row r="14" spans="1:1" x14ac:dyDescent="0.35">
      <c r="A14" s="28"/>
    </row>
    <row r="15" spans="1:1" x14ac:dyDescent="0.35">
      <c r="A15" s="28"/>
    </row>
    <row r="16" spans="1:1" x14ac:dyDescent="0.35">
      <c r="A16" s="28"/>
    </row>
    <row r="17" spans="1:1" x14ac:dyDescent="0.35">
      <c r="A17" s="28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pane ySplit="1" topLeftCell="A2" activePane="bottomLeft" state="frozen"/>
      <selection pane="bottomLeft" activeCell="C31" sqref="C31"/>
    </sheetView>
  </sheetViews>
  <sheetFormatPr defaultRowHeight="14.5" x14ac:dyDescent="0.35"/>
  <cols>
    <col min="1" max="1" width="14" style="30" customWidth="1"/>
    <col min="2" max="2" width="22" style="30" customWidth="1"/>
    <col min="3" max="3" width="17.453125" style="30" bestFit="1" customWidth="1"/>
    <col min="4" max="4" width="50" style="30" customWidth="1"/>
    <col min="5" max="5" width="8.7265625" style="30"/>
    <col min="6" max="6" width="80.453125" style="30" bestFit="1" customWidth="1"/>
    <col min="7" max="16384" width="8.7265625" style="30"/>
  </cols>
  <sheetData>
    <row r="1" spans="1:6" ht="15.5" x14ac:dyDescent="0.35">
      <c r="A1" s="3" t="s">
        <v>51</v>
      </c>
      <c r="B1" s="3" t="s">
        <v>0</v>
      </c>
      <c r="C1" s="31" t="s">
        <v>50</v>
      </c>
      <c r="D1" s="3" t="s">
        <v>1</v>
      </c>
    </row>
    <row r="2" spans="1:6" x14ac:dyDescent="0.35">
      <c r="A2" s="29">
        <v>1</v>
      </c>
      <c r="B2" s="29">
        <v>18</v>
      </c>
      <c r="C2" s="29">
        <v>3</v>
      </c>
      <c r="D2" s="29"/>
      <c r="F2" s="32" t="s">
        <v>2</v>
      </c>
    </row>
    <row r="3" spans="1:6" x14ac:dyDescent="0.35">
      <c r="A3" s="29">
        <v>2</v>
      </c>
      <c r="B3" s="29">
        <v>21</v>
      </c>
      <c r="C3" s="29">
        <v>4</v>
      </c>
      <c r="D3" s="29"/>
    </row>
    <row r="4" spans="1:6" x14ac:dyDescent="0.35">
      <c r="A4" s="29">
        <v>3</v>
      </c>
      <c r="B4" s="29">
        <v>19</v>
      </c>
      <c r="C4" s="29">
        <v>3</v>
      </c>
      <c r="D4" s="29"/>
    </row>
    <row r="5" spans="1:6" x14ac:dyDescent="0.35">
      <c r="A5" s="29">
        <v>4</v>
      </c>
      <c r="B5" s="29">
        <v>23</v>
      </c>
      <c r="C5" s="29">
        <v>5</v>
      </c>
      <c r="D5" s="29"/>
    </row>
    <row r="6" spans="1:6" x14ac:dyDescent="0.35">
      <c r="A6" s="29">
        <v>5</v>
      </c>
      <c r="B6" s="29">
        <v>17</v>
      </c>
      <c r="C6" s="29">
        <v>4</v>
      </c>
      <c r="D6" s="29"/>
    </row>
    <row r="7" spans="1:6" x14ac:dyDescent="0.35">
      <c r="A7" s="29">
        <v>6</v>
      </c>
      <c r="B7" s="29">
        <v>20</v>
      </c>
      <c r="C7" s="29">
        <v>3</v>
      </c>
      <c r="D7" s="29"/>
    </row>
    <row r="8" spans="1:6" x14ac:dyDescent="0.35">
      <c r="A8" s="29">
        <v>7</v>
      </c>
      <c r="B8" s="29">
        <v>22</v>
      </c>
      <c r="C8" s="29">
        <v>4</v>
      </c>
      <c r="D8" s="29"/>
    </row>
    <row r="9" spans="1:6" x14ac:dyDescent="0.35">
      <c r="A9" s="29">
        <v>8</v>
      </c>
      <c r="B9" s="29">
        <v>18</v>
      </c>
      <c r="C9" s="29">
        <v>5</v>
      </c>
      <c r="D9" s="29"/>
    </row>
    <row r="10" spans="1:6" x14ac:dyDescent="0.35">
      <c r="A10" s="29">
        <v>9</v>
      </c>
      <c r="B10" s="29">
        <v>24</v>
      </c>
      <c r="C10" s="29">
        <v>3</v>
      </c>
      <c r="D10" s="29"/>
    </row>
    <row r="11" spans="1:6" x14ac:dyDescent="0.35">
      <c r="A11" s="29">
        <v>10</v>
      </c>
      <c r="B11" s="29">
        <v>19</v>
      </c>
      <c r="C11" s="29">
        <v>4</v>
      </c>
      <c r="D11" s="29"/>
    </row>
    <row r="12" spans="1:6" x14ac:dyDescent="0.35">
      <c r="A12" s="29">
        <v>11</v>
      </c>
      <c r="B12" s="29">
        <v>21</v>
      </c>
      <c r="C12" s="29">
        <v>4</v>
      </c>
      <c r="D12" s="29"/>
    </row>
    <row r="13" spans="1:6" x14ac:dyDescent="0.35">
      <c r="A13" s="29">
        <v>12</v>
      </c>
      <c r="B13" s="29">
        <v>20</v>
      </c>
      <c r="C13" s="29">
        <v>3</v>
      </c>
      <c r="D13" s="29"/>
    </row>
    <row r="14" spans="1:6" x14ac:dyDescent="0.35">
      <c r="A14" s="29">
        <v>13</v>
      </c>
      <c r="B14" s="29">
        <v>23</v>
      </c>
      <c r="C14" s="29">
        <v>5</v>
      </c>
      <c r="D14" s="29"/>
    </row>
    <row r="15" spans="1:6" x14ac:dyDescent="0.35">
      <c r="A15" s="29">
        <v>14</v>
      </c>
      <c r="B15" s="29">
        <v>18</v>
      </c>
      <c r="C15" s="29">
        <v>4</v>
      </c>
      <c r="D15" s="29"/>
    </row>
    <row r="16" spans="1:6" x14ac:dyDescent="0.35">
      <c r="A16" s="29">
        <v>15</v>
      </c>
      <c r="B16" s="29">
        <v>22</v>
      </c>
      <c r="C16" s="29">
        <v>3</v>
      </c>
      <c r="D16" s="29"/>
    </row>
    <row r="17" spans="1:4" x14ac:dyDescent="0.35">
      <c r="A17" s="29">
        <v>16</v>
      </c>
      <c r="B17" s="29">
        <v>19</v>
      </c>
      <c r="C17" s="29">
        <v>4</v>
      </c>
      <c r="D17" s="29"/>
    </row>
    <row r="18" spans="1:4" x14ac:dyDescent="0.35">
      <c r="A18" s="29">
        <v>17</v>
      </c>
      <c r="B18" s="29">
        <v>20</v>
      </c>
      <c r="C18" s="29">
        <v>5</v>
      </c>
      <c r="D18" s="29"/>
    </row>
    <row r="19" spans="1:4" x14ac:dyDescent="0.35">
      <c r="A19" s="29">
        <v>18</v>
      </c>
      <c r="B19" s="29">
        <v>21</v>
      </c>
      <c r="C19" s="29">
        <v>4</v>
      </c>
      <c r="D19" s="29"/>
    </row>
    <row r="20" spans="1:4" x14ac:dyDescent="0.35">
      <c r="A20" s="29">
        <v>19</v>
      </c>
      <c r="B20" s="29">
        <v>18</v>
      </c>
      <c r="C20" s="29">
        <v>3</v>
      </c>
      <c r="D20" s="29"/>
    </row>
    <row r="21" spans="1:4" x14ac:dyDescent="0.35">
      <c r="A21" s="29">
        <v>20</v>
      </c>
      <c r="B21" s="29">
        <v>24</v>
      </c>
      <c r="C21" s="29">
        <v>4</v>
      </c>
      <c r="D21" s="29"/>
    </row>
    <row r="22" spans="1:4" x14ac:dyDescent="0.35">
      <c r="A22" s="29">
        <v>21</v>
      </c>
      <c r="B22" s="29">
        <v>19</v>
      </c>
      <c r="C22" s="29">
        <v>4</v>
      </c>
      <c r="D22" s="29"/>
    </row>
    <row r="23" spans="1:4" x14ac:dyDescent="0.35">
      <c r="A23" s="29">
        <v>22</v>
      </c>
      <c r="B23" s="29">
        <v>22</v>
      </c>
      <c r="C23" s="29">
        <v>5</v>
      </c>
      <c r="D23" s="29"/>
    </row>
    <row r="24" spans="1:4" x14ac:dyDescent="0.35">
      <c r="A24" s="29">
        <v>23</v>
      </c>
      <c r="B24" s="29">
        <v>18</v>
      </c>
      <c r="C24" s="29">
        <v>3</v>
      </c>
      <c r="D24" s="29"/>
    </row>
    <row r="25" spans="1:4" x14ac:dyDescent="0.35">
      <c r="A25" s="29">
        <v>24</v>
      </c>
      <c r="B25" s="29">
        <v>23</v>
      </c>
      <c r="C25" s="29">
        <v>4</v>
      </c>
      <c r="D25" s="29"/>
    </row>
    <row r="26" spans="1:4" x14ac:dyDescent="0.35">
      <c r="A26" s="29">
        <v>25</v>
      </c>
      <c r="B26" s="29">
        <v>20</v>
      </c>
      <c r="C26" s="29">
        <v>4</v>
      </c>
      <c r="D26" s="29"/>
    </row>
    <row r="27" spans="1:4" x14ac:dyDescent="0.35">
      <c r="A27" s="29">
        <v>26</v>
      </c>
      <c r="B27" s="29">
        <v>21</v>
      </c>
      <c r="C27" s="29">
        <v>5</v>
      </c>
      <c r="D27" s="29"/>
    </row>
    <row r="28" spans="1:4" x14ac:dyDescent="0.35">
      <c r="A28" s="29">
        <v>27</v>
      </c>
      <c r="B28" s="29">
        <v>17</v>
      </c>
      <c r="C28" s="29">
        <v>3</v>
      </c>
      <c r="D28" s="29"/>
    </row>
    <row r="29" spans="1:4" x14ac:dyDescent="0.35">
      <c r="A29" s="29">
        <v>28</v>
      </c>
      <c r="B29" s="29">
        <v>24</v>
      </c>
      <c r="C29" s="29">
        <v>4</v>
      </c>
      <c r="D29" s="29"/>
    </row>
    <row r="30" spans="1:4" x14ac:dyDescent="0.35">
      <c r="A30" s="29">
        <v>29</v>
      </c>
      <c r="B30" s="29">
        <v>19</v>
      </c>
      <c r="C30" s="29">
        <v>4</v>
      </c>
      <c r="D30" s="29"/>
    </row>
    <row r="31" spans="1:4" x14ac:dyDescent="0.35">
      <c r="A31" s="29">
        <v>30</v>
      </c>
      <c r="B31" s="29">
        <v>22</v>
      </c>
      <c r="C31" s="29">
        <v>5</v>
      </c>
      <c r="D31" s="29"/>
    </row>
    <row r="32" spans="1:4" x14ac:dyDescent="0.35">
      <c r="A32" s="29">
        <v>31</v>
      </c>
      <c r="B32" s="29"/>
      <c r="C32" s="29"/>
      <c r="D32" s="29"/>
    </row>
    <row r="33" spans="1:4" x14ac:dyDescent="0.35">
      <c r="A33" s="29">
        <v>32</v>
      </c>
      <c r="B33" s="29"/>
      <c r="C33" s="29"/>
      <c r="D33" s="29"/>
    </row>
    <row r="34" spans="1:4" x14ac:dyDescent="0.35">
      <c r="A34" s="29">
        <v>33</v>
      </c>
      <c r="B34" s="29"/>
      <c r="C34" s="29"/>
      <c r="D34" s="29"/>
    </row>
    <row r="35" spans="1:4" x14ac:dyDescent="0.35">
      <c r="A35" s="29">
        <v>34</v>
      </c>
      <c r="B35" s="29"/>
      <c r="C35" s="29"/>
      <c r="D35" s="29"/>
    </row>
    <row r="36" spans="1:4" x14ac:dyDescent="0.35">
      <c r="A36" s="29">
        <v>35</v>
      </c>
      <c r="B36" s="29"/>
      <c r="C36" s="29"/>
      <c r="D36" s="29"/>
    </row>
    <row r="37" spans="1:4" x14ac:dyDescent="0.35">
      <c r="A37" s="29">
        <v>36</v>
      </c>
      <c r="B37" s="29"/>
      <c r="C37" s="29"/>
      <c r="D37" s="29"/>
    </row>
    <row r="38" spans="1:4" x14ac:dyDescent="0.35">
      <c r="A38" s="29">
        <v>37</v>
      </c>
      <c r="B38" s="29"/>
      <c r="C38" s="29"/>
      <c r="D38" s="29"/>
    </row>
    <row r="39" spans="1:4" x14ac:dyDescent="0.35">
      <c r="A39" s="29">
        <v>38</v>
      </c>
      <c r="B39" s="29"/>
      <c r="C39" s="29"/>
      <c r="D39" s="29"/>
    </row>
    <row r="40" spans="1:4" x14ac:dyDescent="0.35">
      <c r="A40" s="29">
        <v>39</v>
      </c>
      <c r="B40" s="29"/>
      <c r="C40" s="29"/>
      <c r="D40" s="29"/>
    </row>
    <row r="41" spans="1:4" x14ac:dyDescent="0.35">
      <c r="A41" s="29">
        <v>40</v>
      </c>
      <c r="B41" s="29"/>
      <c r="C41" s="29"/>
      <c r="D41" s="29"/>
    </row>
    <row r="42" spans="1:4" x14ac:dyDescent="0.35">
      <c r="A42" s="29">
        <v>41</v>
      </c>
      <c r="B42" s="29"/>
      <c r="C42" s="29"/>
      <c r="D42" s="29"/>
    </row>
    <row r="43" spans="1:4" x14ac:dyDescent="0.35">
      <c r="A43" s="29">
        <v>42</v>
      </c>
      <c r="B43" s="29"/>
      <c r="C43" s="29"/>
      <c r="D43" s="29"/>
    </row>
    <row r="44" spans="1:4" x14ac:dyDescent="0.35">
      <c r="A44" s="29">
        <v>43</v>
      </c>
      <c r="B44" s="29"/>
      <c r="C44" s="29"/>
      <c r="D44" s="29"/>
    </row>
    <row r="45" spans="1:4" x14ac:dyDescent="0.35">
      <c r="A45" s="29">
        <v>44</v>
      </c>
      <c r="B45" s="29"/>
      <c r="C45" s="29"/>
      <c r="D45" s="29"/>
    </row>
    <row r="46" spans="1:4" x14ac:dyDescent="0.35">
      <c r="A46" s="29">
        <v>45</v>
      </c>
      <c r="B46" s="29"/>
      <c r="C46" s="29"/>
      <c r="D46" s="29"/>
    </row>
    <row r="47" spans="1:4" x14ac:dyDescent="0.35">
      <c r="A47" s="29">
        <v>46</v>
      </c>
      <c r="B47" s="29"/>
      <c r="C47" s="29"/>
      <c r="D47" s="29"/>
    </row>
    <row r="48" spans="1:4" x14ac:dyDescent="0.35">
      <c r="A48" s="29">
        <v>47</v>
      </c>
      <c r="B48" s="29"/>
      <c r="C48" s="29"/>
      <c r="D48" s="29"/>
    </row>
    <row r="49" spans="1:4" x14ac:dyDescent="0.35">
      <c r="A49" s="29">
        <v>48</v>
      </c>
      <c r="B49" s="29"/>
      <c r="C49" s="29"/>
      <c r="D49" s="29"/>
    </row>
    <row r="50" spans="1:4" x14ac:dyDescent="0.35">
      <c r="A50" s="29">
        <v>49</v>
      </c>
      <c r="B50" s="29"/>
      <c r="C50" s="29"/>
      <c r="D50" s="29"/>
    </row>
    <row r="51" spans="1:4" x14ac:dyDescent="0.35">
      <c r="A51" s="29">
        <v>50</v>
      </c>
      <c r="B51" s="29"/>
      <c r="C51" s="29"/>
      <c r="D51" s="29"/>
    </row>
    <row r="52" spans="1:4" x14ac:dyDescent="0.35">
      <c r="A52" s="29">
        <v>51</v>
      </c>
      <c r="B52" s="29"/>
      <c r="C52" s="29"/>
      <c r="D52" s="29"/>
    </row>
    <row r="53" spans="1:4" x14ac:dyDescent="0.35">
      <c r="A53" s="29">
        <v>52</v>
      </c>
      <c r="B53" s="29"/>
      <c r="C53" s="29"/>
      <c r="D53" s="29"/>
    </row>
    <row r="54" spans="1:4" x14ac:dyDescent="0.35">
      <c r="A54" s="29">
        <v>53</v>
      </c>
      <c r="B54" s="29"/>
      <c r="C54" s="29"/>
      <c r="D54" s="29"/>
    </row>
    <row r="55" spans="1:4" x14ac:dyDescent="0.35">
      <c r="A55" s="29">
        <v>54</v>
      </c>
      <c r="B55" s="29"/>
      <c r="C55" s="29"/>
      <c r="D55" s="29"/>
    </row>
    <row r="56" spans="1:4" x14ac:dyDescent="0.35">
      <c r="A56" s="29">
        <v>55</v>
      </c>
      <c r="B56" s="29"/>
      <c r="C56" s="29"/>
      <c r="D56" s="29"/>
    </row>
    <row r="57" spans="1:4" x14ac:dyDescent="0.35">
      <c r="A57" s="29">
        <v>56</v>
      </c>
      <c r="B57" s="29"/>
      <c r="C57" s="29"/>
      <c r="D57" s="29"/>
    </row>
    <row r="58" spans="1:4" x14ac:dyDescent="0.35">
      <c r="A58" s="29">
        <v>57</v>
      </c>
      <c r="B58" s="29"/>
      <c r="C58" s="29"/>
      <c r="D58" s="29"/>
    </row>
    <row r="59" spans="1:4" x14ac:dyDescent="0.35">
      <c r="A59" s="29">
        <v>58</v>
      </c>
      <c r="B59" s="29"/>
      <c r="C59" s="29"/>
      <c r="D59" s="29"/>
    </row>
    <row r="60" spans="1:4" x14ac:dyDescent="0.35">
      <c r="A60" s="29">
        <v>59</v>
      </c>
      <c r="B60" s="29"/>
      <c r="C60" s="29"/>
      <c r="D60" s="29"/>
    </row>
    <row r="61" spans="1:4" x14ac:dyDescent="0.35">
      <c r="A61" s="29">
        <v>60</v>
      </c>
      <c r="B61" s="29"/>
      <c r="C61" s="29"/>
      <c r="D61" s="29"/>
    </row>
    <row r="62" spans="1:4" x14ac:dyDescent="0.35">
      <c r="A62" s="29">
        <v>61</v>
      </c>
      <c r="B62" s="29"/>
      <c r="C62" s="29"/>
      <c r="D62" s="29"/>
    </row>
    <row r="63" spans="1:4" x14ac:dyDescent="0.35">
      <c r="A63" s="29">
        <v>62</v>
      </c>
      <c r="B63" s="29"/>
      <c r="C63" s="29"/>
      <c r="D63" s="29"/>
    </row>
    <row r="64" spans="1:4" x14ac:dyDescent="0.35">
      <c r="A64" s="29">
        <v>63</v>
      </c>
      <c r="B64" s="29"/>
      <c r="C64" s="29"/>
      <c r="D64" s="29"/>
    </row>
    <row r="65" spans="1:4" x14ac:dyDescent="0.35">
      <c r="A65" s="29">
        <v>64</v>
      </c>
      <c r="B65" s="29"/>
      <c r="C65" s="29"/>
      <c r="D65" s="29"/>
    </row>
    <row r="66" spans="1:4" x14ac:dyDescent="0.35">
      <c r="A66" s="29">
        <v>65</v>
      </c>
      <c r="B66" s="29"/>
      <c r="C66" s="29"/>
      <c r="D66" s="29"/>
    </row>
    <row r="67" spans="1:4" x14ac:dyDescent="0.35">
      <c r="A67" s="29">
        <v>66</v>
      </c>
      <c r="B67" s="29"/>
      <c r="C67" s="29"/>
      <c r="D67" s="29"/>
    </row>
    <row r="68" spans="1:4" x14ac:dyDescent="0.35">
      <c r="A68" s="29">
        <v>67</v>
      </c>
      <c r="B68" s="29"/>
      <c r="C68" s="29"/>
      <c r="D68" s="29"/>
    </row>
    <row r="69" spans="1:4" x14ac:dyDescent="0.35">
      <c r="A69" s="29">
        <v>68</v>
      </c>
      <c r="B69" s="29"/>
      <c r="C69" s="29"/>
      <c r="D69" s="29"/>
    </row>
    <row r="70" spans="1:4" x14ac:dyDescent="0.35">
      <c r="A70" s="29">
        <v>69</v>
      </c>
      <c r="B70" s="29"/>
      <c r="C70" s="29"/>
      <c r="D70" s="29"/>
    </row>
    <row r="71" spans="1:4" x14ac:dyDescent="0.35">
      <c r="A71" s="29">
        <v>70</v>
      </c>
      <c r="B71" s="29"/>
      <c r="C71" s="29"/>
      <c r="D71" s="29"/>
    </row>
    <row r="72" spans="1:4" x14ac:dyDescent="0.35">
      <c r="A72" s="29">
        <v>71</v>
      </c>
      <c r="B72" s="29"/>
      <c r="C72" s="29"/>
      <c r="D72" s="29"/>
    </row>
    <row r="73" spans="1:4" x14ac:dyDescent="0.35">
      <c r="A73" s="29">
        <v>72</v>
      </c>
      <c r="B73" s="29"/>
      <c r="C73" s="29"/>
      <c r="D73" s="29"/>
    </row>
    <row r="74" spans="1:4" x14ac:dyDescent="0.35">
      <c r="A74" s="29">
        <v>73</v>
      </c>
      <c r="B74" s="29"/>
      <c r="C74" s="29"/>
      <c r="D74" s="29"/>
    </row>
    <row r="75" spans="1:4" x14ac:dyDescent="0.35">
      <c r="A75" s="29">
        <v>74</v>
      </c>
      <c r="B75" s="29"/>
      <c r="C75" s="29"/>
      <c r="D75" s="29"/>
    </row>
    <row r="76" spans="1:4" x14ac:dyDescent="0.35">
      <c r="A76" s="29">
        <v>75</v>
      </c>
      <c r="B76" s="29"/>
      <c r="C76" s="29"/>
      <c r="D76" s="29"/>
    </row>
    <row r="77" spans="1:4" x14ac:dyDescent="0.35">
      <c r="A77" s="29">
        <v>76</v>
      </c>
      <c r="B77" s="29"/>
      <c r="C77" s="29"/>
      <c r="D77" s="29"/>
    </row>
    <row r="78" spans="1:4" x14ac:dyDescent="0.35">
      <c r="A78" s="29">
        <v>77</v>
      </c>
      <c r="B78" s="29"/>
      <c r="C78" s="29"/>
      <c r="D78" s="29"/>
    </row>
    <row r="79" spans="1:4" x14ac:dyDescent="0.35">
      <c r="A79" s="29">
        <v>78</v>
      </c>
      <c r="B79" s="29"/>
      <c r="C79" s="29"/>
      <c r="D79" s="29"/>
    </row>
    <row r="80" spans="1:4" x14ac:dyDescent="0.35">
      <c r="A80" s="29">
        <v>79</v>
      </c>
      <c r="B80" s="29"/>
      <c r="C80" s="29"/>
      <c r="D80" s="29"/>
    </row>
    <row r="81" spans="1:4" x14ac:dyDescent="0.35">
      <c r="A81" s="29">
        <v>80</v>
      </c>
      <c r="B81" s="29"/>
      <c r="C81" s="29"/>
      <c r="D81" s="29"/>
    </row>
    <row r="82" spans="1:4" x14ac:dyDescent="0.35">
      <c r="A82" s="29">
        <v>81</v>
      </c>
      <c r="B82" s="29"/>
      <c r="C82" s="29"/>
      <c r="D82" s="29"/>
    </row>
    <row r="83" spans="1:4" x14ac:dyDescent="0.35">
      <c r="A83" s="29">
        <v>82</v>
      </c>
      <c r="B83" s="29"/>
      <c r="C83" s="29"/>
      <c r="D83" s="29"/>
    </row>
    <row r="84" spans="1:4" x14ac:dyDescent="0.35">
      <c r="A84" s="29">
        <v>83</v>
      </c>
      <c r="B84" s="29"/>
      <c r="C84" s="29"/>
      <c r="D84" s="29"/>
    </row>
    <row r="85" spans="1:4" x14ac:dyDescent="0.35">
      <c r="A85" s="29">
        <v>84</v>
      </c>
      <c r="B85" s="29"/>
      <c r="C85" s="29"/>
      <c r="D85" s="29"/>
    </row>
    <row r="86" spans="1:4" x14ac:dyDescent="0.35">
      <c r="A86" s="29">
        <v>85</v>
      </c>
      <c r="B86" s="29"/>
      <c r="C86" s="29"/>
      <c r="D86" s="29"/>
    </row>
    <row r="87" spans="1:4" x14ac:dyDescent="0.35">
      <c r="A87" s="29">
        <v>86</v>
      </c>
      <c r="B87" s="29"/>
      <c r="C87" s="29"/>
      <c r="D87" s="29"/>
    </row>
    <row r="88" spans="1:4" x14ac:dyDescent="0.35">
      <c r="A88" s="29">
        <v>87</v>
      </c>
      <c r="B88" s="29"/>
      <c r="C88" s="29"/>
      <c r="D88" s="29"/>
    </row>
    <row r="89" spans="1:4" x14ac:dyDescent="0.35">
      <c r="A89" s="29">
        <v>88</v>
      </c>
      <c r="B89" s="29"/>
      <c r="C89" s="29"/>
      <c r="D89" s="29"/>
    </row>
    <row r="90" spans="1:4" x14ac:dyDescent="0.35">
      <c r="A90" s="29">
        <v>89</v>
      </c>
      <c r="B90" s="29"/>
      <c r="C90" s="29"/>
      <c r="D90" s="29"/>
    </row>
    <row r="91" spans="1:4" x14ac:dyDescent="0.35">
      <c r="A91" s="29">
        <v>90</v>
      </c>
      <c r="B91" s="29"/>
      <c r="C91" s="29"/>
      <c r="D91" s="29"/>
    </row>
    <row r="92" spans="1:4" x14ac:dyDescent="0.35">
      <c r="A92" s="29">
        <v>91</v>
      </c>
      <c r="B92" s="29"/>
      <c r="C92" s="29"/>
      <c r="D92" s="29"/>
    </row>
    <row r="93" spans="1:4" x14ac:dyDescent="0.35">
      <c r="A93" s="29">
        <v>92</v>
      </c>
      <c r="B93" s="29"/>
      <c r="C93" s="29"/>
      <c r="D93" s="29"/>
    </row>
    <row r="94" spans="1:4" x14ac:dyDescent="0.35">
      <c r="A94" s="29">
        <v>93</v>
      </c>
      <c r="B94" s="29"/>
      <c r="C94" s="29"/>
      <c r="D94" s="29"/>
    </row>
    <row r="95" spans="1:4" x14ac:dyDescent="0.35">
      <c r="A95" s="29">
        <v>94</v>
      </c>
      <c r="B95" s="29"/>
      <c r="C95" s="29"/>
      <c r="D95" s="29"/>
    </row>
    <row r="96" spans="1:4" x14ac:dyDescent="0.35">
      <c r="A96" s="29">
        <v>95</v>
      </c>
      <c r="B96" s="29"/>
      <c r="C96" s="29"/>
      <c r="D96" s="29"/>
    </row>
    <row r="97" spans="1:4" x14ac:dyDescent="0.35">
      <c r="A97" s="29">
        <v>96</v>
      </c>
      <c r="B97" s="29"/>
      <c r="C97" s="29"/>
      <c r="D97" s="29"/>
    </row>
    <row r="98" spans="1:4" x14ac:dyDescent="0.35">
      <c r="A98" s="29">
        <v>97</v>
      </c>
      <c r="B98" s="29"/>
      <c r="C98" s="29"/>
      <c r="D98" s="29"/>
    </row>
    <row r="99" spans="1:4" x14ac:dyDescent="0.35">
      <c r="A99" s="29">
        <v>98</v>
      </c>
      <c r="B99" s="29"/>
      <c r="C99" s="29"/>
      <c r="D99" s="29"/>
    </row>
    <row r="100" spans="1:4" x14ac:dyDescent="0.35">
      <c r="A100" s="29">
        <v>99</v>
      </c>
      <c r="B100" s="29"/>
      <c r="C100" s="29"/>
      <c r="D100" s="29"/>
    </row>
    <row r="101" spans="1:4" x14ac:dyDescent="0.35">
      <c r="A101" s="29">
        <v>100</v>
      </c>
      <c r="B101" s="29"/>
      <c r="C101" s="29"/>
      <c r="D101" s="29"/>
    </row>
    <row r="102" spans="1:4" x14ac:dyDescent="0.35">
      <c r="A102" s="29">
        <v>101</v>
      </c>
      <c r="B102" s="29"/>
      <c r="C102" s="29"/>
      <c r="D102" s="29"/>
    </row>
    <row r="103" spans="1:4" x14ac:dyDescent="0.35">
      <c r="A103" s="29">
        <v>102</v>
      </c>
      <c r="B103" s="29"/>
      <c r="C103" s="29"/>
      <c r="D103" s="29"/>
    </row>
    <row r="104" spans="1:4" x14ac:dyDescent="0.35">
      <c r="A104" s="29">
        <v>103</v>
      </c>
      <c r="B104" s="29"/>
      <c r="C104" s="29"/>
      <c r="D104" s="29"/>
    </row>
    <row r="105" spans="1:4" x14ac:dyDescent="0.35">
      <c r="A105" s="29">
        <v>104</v>
      </c>
      <c r="B105" s="29"/>
      <c r="C105" s="29"/>
      <c r="D105" s="29"/>
    </row>
    <row r="106" spans="1:4" x14ac:dyDescent="0.35">
      <c r="A106" s="29">
        <v>105</v>
      </c>
      <c r="B106" s="29"/>
      <c r="C106" s="29"/>
      <c r="D106" s="29"/>
    </row>
    <row r="107" spans="1:4" x14ac:dyDescent="0.35">
      <c r="A107" s="29">
        <v>106</v>
      </c>
      <c r="B107" s="29"/>
      <c r="C107" s="29"/>
      <c r="D107" s="29"/>
    </row>
    <row r="108" spans="1:4" x14ac:dyDescent="0.35">
      <c r="A108" s="29">
        <v>107</v>
      </c>
      <c r="B108" s="29"/>
      <c r="C108" s="29"/>
      <c r="D108" s="29"/>
    </row>
    <row r="109" spans="1:4" x14ac:dyDescent="0.35">
      <c r="A109" s="29">
        <v>108</v>
      </c>
      <c r="B109" s="29"/>
      <c r="C109" s="29"/>
      <c r="D109" s="29"/>
    </row>
    <row r="110" spans="1:4" x14ac:dyDescent="0.35">
      <c r="A110" s="29">
        <v>109</v>
      </c>
      <c r="B110" s="29"/>
      <c r="C110" s="29"/>
      <c r="D110" s="29"/>
    </row>
    <row r="111" spans="1:4" x14ac:dyDescent="0.35">
      <c r="A111" s="29">
        <v>110</v>
      </c>
      <c r="B111" s="29"/>
      <c r="C111" s="29"/>
      <c r="D111" s="29"/>
    </row>
    <row r="112" spans="1:4" x14ac:dyDescent="0.35">
      <c r="A112" s="29">
        <v>111</v>
      </c>
      <c r="B112" s="29"/>
      <c r="C112" s="29"/>
      <c r="D112" s="29"/>
    </row>
    <row r="113" spans="1:4" x14ac:dyDescent="0.35">
      <c r="A113" s="29">
        <v>112</v>
      </c>
      <c r="B113" s="29"/>
      <c r="C113" s="29"/>
      <c r="D113" s="29"/>
    </row>
    <row r="114" spans="1:4" x14ac:dyDescent="0.35">
      <c r="A114" s="29">
        <v>113</v>
      </c>
      <c r="B114" s="29"/>
      <c r="C114" s="29"/>
      <c r="D114" s="29"/>
    </row>
    <row r="115" spans="1:4" x14ac:dyDescent="0.35">
      <c r="A115" s="29">
        <v>114</v>
      </c>
      <c r="B115" s="29"/>
      <c r="C115" s="29"/>
      <c r="D115" s="29"/>
    </row>
    <row r="116" spans="1:4" x14ac:dyDescent="0.35">
      <c r="A116" s="29">
        <v>115</v>
      </c>
      <c r="B116" s="29"/>
      <c r="C116" s="29"/>
      <c r="D116" s="29"/>
    </row>
    <row r="117" spans="1:4" x14ac:dyDescent="0.35">
      <c r="A117" s="29">
        <v>116</v>
      </c>
      <c r="B117" s="29"/>
      <c r="C117" s="29"/>
      <c r="D117" s="29"/>
    </row>
    <row r="118" spans="1:4" x14ac:dyDescent="0.35">
      <c r="A118" s="29">
        <v>117</v>
      </c>
      <c r="B118" s="29"/>
      <c r="C118" s="29"/>
      <c r="D118" s="29"/>
    </row>
    <row r="119" spans="1:4" x14ac:dyDescent="0.35">
      <c r="A119" s="29">
        <v>118</v>
      </c>
      <c r="B119" s="29"/>
      <c r="C119" s="29"/>
      <c r="D119" s="29"/>
    </row>
    <row r="120" spans="1:4" x14ac:dyDescent="0.35">
      <c r="A120" s="29">
        <v>119</v>
      </c>
      <c r="B120" s="29"/>
      <c r="C120" s="29"/>
      <c r="D120" s="29"/>
    </row>
    <row r="121" spans="1:4" x14ac:dyDescent="0.35">
      <c r="A121" s="29">
        <v>120</v>
      </c>
      <c r="B121" s="29"/>
      <c r="C121" s="29"/>
      <c r="D121" s="29"/>
    </row>
    <row r="122" spans="1:4" x14ac:dyDescent="0.35">
      <c r="A122" s="29">
        <v>121</v>
      </c>
      <c r="B122" s="29"/>
      <c r="C122" s="29"/>
      <c r="D122" s="29"/>
    </row>
    <row r="123" spans="1:4" x14ac:dyDescent="0.35">
      <c r="A123" s="29">
        <v>122</v>
      </c>
      <c r="B123" s="29"/>
      <c r="C123" s="29"/>
      <c r="D123" s="29"/>
    </row>
    <row r="124" spans="1:4" x14ac:dyDescent="0.35">
      <c r="A124" s="29">
        <v>123</v>
      </c>
      <c r="B124" s="29"/>
      <c r="C124" s="29"/>
      <c r="D124" s="29"/>
    </row>
    <row r="125" spans="1:4" x14ac:dyDescent="0.35">
      <c r="A125" s="29">
        <v>124</v>
      </c>
      <c r="B125" s="29"/>
      <c r="C125" s="29"/>
      <c r="D125" s="29"/>
    </row>
    <row r="126" spans="1:4" x14ac:dyDescent="0.35">
      <c r="A126" s="29">
        <v>125</v>
      </c>
      <c r="B126" s="29"/>
      <c r="C126" s="29"/>
      <c r="D126" s="29"/>
    </row>
    <row r="127" spans="1:4" x14ac:dyDescent="0.35">
      <c r="A127" s="29">
        <v>126</v>
      </c>
      <c r="B127" s="29"/>
      <c r="C127" s="29"/>
      <c r="D127" s="29"/>
    </row>
    <row r="128" spans="1:4" x14ac:dyDescent="0.35">
      <c r="A128" s="29">
        <v>127</v>
      </c>
      <c r="B128" s="29"/>
      <c r="C128" s="29"/>
      <c r="D128" s="29"/>
    </row>
    <row r="129" spans="1:4" x14ac:dyDescent="0.35">
      <c r="A129" s="29">
        <v>128</v>
      </c>
      <c r="B129" s="29"/>
      <c r="C129" s="29"/>
      <c r="D129" s="29"/>
    </row>
    <row r="130" spans="1:4" x14ac:dyDescent="0.35">
      <c r="A130" s="29">
        <v>129</v>
      </c>
      <c r="B130" s="29"/>
      <c r="C130" s="29"/>
      <c r="D130" s="29"/>
    </row>
    <row r="131" spans="1:4" x14ac:dyDescent="0.35">
      <c r="A131" s="29">
        <v>130</v>
      </c>
      <c r="B131" s="29"/>
      <c r="C131" s="29"/>
      <c r="D131" s="29"/>
    </row>
    <row r="132" spans="1:4" x14ac:dyDescent="0.35">
      <c r="A132" s="29">
        <v>131</v>
      </c>
      <c r="B132" s="29"/>
      <c r="C132" s="29"/>
      <c r="D132" s="29"/>
    </row>
    <row r="133" spans="1:4" x14ac:dyDescent="0.35">
      <c r="A133" s="29">
        <v>132</v>
      </c>
      <c r="B133" s="29"/>
      <c r="C133" s="29"/>
      <c r="D133" s="29"/>
    </row>
    <row r="134" spans="1:4" x14ac:dyDescent="0.35">
      <c r="A134" s="29">
        <v>133</v>
      </c>
      <c r="B134" s="29"/>
      <c r="C134" s="29"/>
      <c r="D134" s="29"/>
    </row>
    <row r="135" spans="1:4" x14ac:dyDescent="0.35">
      <c r="A135" s="29">
        <v>134</v>
      </c>
      <c r="B135" s="29"/>
      <c r="C135" s="29"/>
      <c r="D135" s="29"/>
    </row>
    <row r="136" spans="1:4" x14ac:dyDescent="0.35">
      <c r="A136" s="29">
        <v>135</v>
      </c>
      <c r="B136" s="29"/>
      <c r="C136" s="29"/>
      <c r="D136" s="29"/>
    </row>
    <row r="137" spans="1:4" x14ac:dyDescent="0.35">
      <c r="A137" s="29">
        <v>136</v>
      </c>
      <c r="B137" s="29"/>
      <c r="C137" s="29"/>
      <c r="D137" s="29"/>
    </row>
    <row r="138" spans="1:4" x14ac:dyDescent="0.35">
      <c r="A138" s="29">
        <v>137</v>
      </c>
      <c r="B138" s="29"/>
      <c r="C138" s="29"/>
      <c r="D138" s="29"/>
    </row>
    <row r="139" spans="1:4" x14ac:dyDescent="0.35">
      <c r="A139" s="29">
        <v>138</v>
      </c>
      <c r="B139" s="29"/>
      <c r="C139" s="29"/>
      <c r="D139" s="29"/>
    </row>
    <row r="140" spans="1:4" x14ac:dyDescent="0.35">
      <c r="A140" s="29">
        <v>139</v>
      </c>
      <c r="B140" s="29"/>
      <c r="C140" s="29"/>
      <c r="D140" s="29"/>
    </row>
    <row r="141" spans="1:4" x14ac:dyDescent="0.35">
      <c r="A141" s="29">
        <v>140</v>
      </c>
      <c r="B141" s="29"/>
      <c r="C141" s="29"/>
      <c r="D141" s="29"/>
    </row>
    <row r="142" spans="1:4" x14ac:dyDescent="0.35">
      <c r="A142" s="29">
        <v>141</v>
      </c>
      <c r="B142" s="29"/>
      <c r="C142" s="29"/>
      <c r="D142" s="29"/>
    </row>
    <row r="143" spans="1:4" x14ac:dyDescent="0.35">
      <c r="A143" s="29">
        <v>142</v>
      </c>
      <c r="B143" s="29"/>
      <c r="C143" s="29"/>
      <c r="D143" s="29"/>
    </row>
    <row r="144" spans="1:4" x14ac:dyDescent="0.35">
      <c r="A144" s="29">
        <v>143</v>
      </c>
      <c r="B144" s="29"/>
      <c r="C144" s="29"/>
      <c r="D144" s="29"/>
    </row>
    <row r="145" spans="1:4" x14ac:dyDescent="0.35">
      <c r="A145" s="29">
        <v>144</v>
      </c>
      <c r="B145" s="29"/>
      <c r="C145" s="29"/>
      <c r="D145" s="29"/>
    </row>
    <row r="146" spans="1:4" x14ac:dyDescent="0.35">
      <c r="A146" s="29">
        <v>145</v>
      </c>
      <c r="B146" s="29"/>
      <c r="C146" s="29"/>
      <c r="D146" s="29"/>
    </row>
    <row r="147" spans="1:4" x14ac:dyDescent="0.35">
      <c r="A147" s="29">
        <v>146</v>
      </c>
      <c r="B147" s="29"/>
      <c r="C147" s="29"/>
      <c r="D147" s="29"/>
    </row>
    <row r="148" spans="1:4" x14ac:dyDescent="0.35">
      <c r="A148" s="29">
        <v>147</v>
      </c>
      <c r="B148" s="29"/>
      <c r="C148" s="29"/>
      <c r="D148" s="29"/>
    </row>
    <row r="149" spans="1:4" x14ac:dyDescent="0.35">
      <c r="A149" s="29">
        <v>148</v>
      </c>
      <c r="B149" s="29"/>
      <c r="C149" s="29"/>
      <c r="D149" s="29"/>
    </row>
    <row r="150" spans="1:4" x14ac:dyDescent="0.35">
      <c r="A150" s="29">
        <v>149</v>
      </c>
      <c r="B150" s="29"/>
      <c r="C150" s="29"/>
      <c r="D150" s="29"/>
    </row>
    <row r="151" spans="1:4" x14ac:dyDescent="0.35">
      <c r="A151" s="29">
        <v>150</v>
      </c>
      <c r="B151" s="29"/>
      <c r="C151" s="29"/>
      <c r="D151" s="29"/>
    </row>
    <row r="152" spans="1:4" x14ac:dyDescent="0.35">
      <c r="A152" s="29">
        <v>151</v>
      </c>
      <c r="B152" s="29"/>
      <c r="C152" s="29"/>
      <c r="D152" s="29"/>
    </row>
    <row r="153" spans="1:4" x14ac:dyDescent="0.35">
      <c r="A153" s="29">
        <v>152</v>
      </c>
      <c r="B153" s="29"/>
      <c r="C153" s="29"/>
      <c r="D153" s="29"/>
    </row>
    <row r="154" spans="1:4" x14ac:dyDescent="0.35">
      <c r="A154" s="29">
        <v>153</v>
      </c>
      <c r="B154" s="29"/>
      <c r="C154" s="29"/>
      <c r="D154" s="29"/>
    </row>
    <row r="155" spans="1:4" x14ac:dyDescent="0.35">
      <c r="A155" s="29">
        <v>154</v>
      </c>
      <c r="B155" s="29"/>
      <c r="C155" s="29"/>
      <c r="D155" s="29"/>
    </row>
    <row r="156" spans="1:4" x14ac:dyDescent="0.35">
      <c r="A156" s="29">
        <v>155</v>
      </c>
      <c r="B156" s="29"/>
      <c r="C156" s="29"/>
      <c r="D156" s="29"/>
    </row>
    <row r="157" spans="1:4" x14ac:dyDescent="0.35">
      <c r="A157" s="29">
        <v>156</v>
      </c>
      <c r="B157" s="29"/>
      <c r="C157" s="29"/>
      <c r="D157" s="29"/>
    </row>
    <row r="158" spans="1:4" x14ac:dyDescent="0.35">
      <c r="A158" s="29">
        <v>157</v>
      </c>
      <c r="B158" s="29"/>
      <c r="C158" s="29"/>
      <c r="D158" s="29"/>
    </row>
    <row r="159" spans="1:4" x14ac:dyDescent="0.35">
      <c r="A159" s="29">
        <v>158</v>
      </c>
      <c r="B159" s="29"/>
      <c r="C159" s="29"/>
      <c r="D159" s="29"/>
    </row>
    <row r="160" spans="1:4" x14ac:dyDescent="0.35">
      <c r="A160" s="29">
        <v>159</v>
      </c>
      <c r="B160" s="29"/>
      <c r="C160" s="29"/>
      <c r="D160" s="29"/>
    </row>
    <row r="161" spans="1:4" x14ac:dyDescent="0.35">
      <c r="A161" s="29">
        <v>160</v>
      </c>
      <c r="B161" s="29"/>
      <c r="C161" s="29"/>
      <c r="D161" s="29"/>
    </row>
    <row r="162" spans="1:4" x14ac:dyDescent="0.35">
      <c r="A162" s="29">
        <v>161</v>
      </c>
      <c r="B162" s="29"/>
      <c r="C162" s="29"/>
      <c r="D162" s="29"/>
    </row>
    <row r="163" spans="1:4" x14ac:dyDescent="0.35">
      <c r="A163" s="29">
        <v>162</v>
      </c>
      <c r="B163" s="29"/>
      <c r="C163" s="29"/>
      <c r="D163" s="29"/>
    </row>
    <row r="164" spans="1:4" x14ac:dyDescent="0.35">
      <c r="A164" s="29">
        <v>163</v>
      </c>
      <c r="B164" s="29"/>
      <c r="C164" s="29"/>
      <c r="D164" s="29"/>
    </row>
    <row r="165" spans="1:4" x14ac:dyDescent="0.35">
      <c r="A165" s="29">
        <v>164</v>
      </c>
      <c r="B165" s="29"/>
      <c r="C165" s="29"/>
      <c r="D165" s="29"/>
    </row>
    <row r="166" spans="1:4" x14ac:dyDescent="0.35">
      <c r="A166" s="29">
        <v>165</v>
      </c>
      <c r="B166" s="29"/>
      <c r="C166" s="29"/>
      <c r="D166" s="29"/>
    </row>
    <row r="167" spans="1:4" x14ac:dyDescent="0.35">
      <c r="A167" s="29">
        <v>166</v>
      </c>
      <c r="B167" s="29"/>
      <c r="C167" s="29"/>
      <c r="D167" s="29"/>
    </row>
    <row r="168" spans="1:4" x14ac:dyDescent="0.35">
      <c r="A168" s="29">
        <v>167</v>
      </c>
      <c r="B168" s="29"/>
      <c r="C168" s="29"/>
      <c r="D168" s="29"/>
    </row>
    <row r="169" spans="1:4" x14ac:dyDescent="0.35">
      <c r="A169" s="29">
        <v>168</v>
      </c>
      <c r="B169" s="29"/>
      <c r="C169" s="29"/>
      <c r="D169" s="29"/>
    </row>
    <row r="170" spans="1:4" x14ac:dyDescent="0.35">
      <c r="A170" s="29">
        <v>169</v>
      </c>
      <c r="B170" s="29"/>
      <c r="C170" s="29"/>
      <c r="D170" s="29"/>
    </row>
    <row r="171" spans="1:4" x14ac:dyDescent="0.35">
      <c r="A171" s="29">
        <v>170</v>
      </c>
      <c r="B171" s="29"/>
      <c r="C171" s="29"/>
      <c r="D171" s="29"/>
    </row>
    <row r="172" spans="1:4" x14ac:dyDescent="0.35">
      <c r="A172" s="29">
        <v>171</v>
      </c>
      <c r="B172" s="29"/>
      <c r="C172" s="29"/>
      <c r="D172" s="29"/>
    </row>
    <row r="173" spans="1:4" x14ac:dyDescent="0.35">
      <c r="A173" s="29">
        <v>172</v>
      </c>
      <c r="B173" s="29"/>
      <c r="C173" s="29"/>
      <c r="D173" s="29"/>
    </row>
    <row r="174" spans="1:4" x14ac:dyDescent="0.35">
      <c r="A174" s="29">
        <v>173</v>
      </c>
      <c r="B174" s="29"/>
      <c r="C174" s="29"/>
      <c r="D174" s="29"/>
    </row>
    <row r="175" spans="1:4" x14ac:dyDescent="0.35">
      <c r="A175" s="29">
        <v>174</v>
      </c>
      <c r="B175" s="29"/>
      <c r="C175" s="29"/>
      <c r="D175" s="29"/>
    </row>
    <row r="176" spans="1:4" x14ac:dyDescent="0.35">
      <c r="A176" s="29">
        <v>175</v>
      </c>
      <c r="B176" s="29"/>
      <c r="C176" s="29"/>
      <c r="D176" s="29"/>
    </row>
    <row r="177" spans="1:4" x14ac:dyDescent="0.35">
      <c r="A177" s="29">
        <v>176</v>
      </c>
      <c r="B177" s="29"/>
      <c r="C177" s="29"/>
      <c r="D177" s="29"/>
    </row>
    <row r="178" spans="1:4" x14ac:dyDescent="0.35">
      <c r="A178" s="29">
        <v>177</v>
      </c>
      <c r="B178" s="29"/>
      <c r="C178" s="29"/>
      <c r="D178" s="29"/>
    </row>
    <row r="179" spans="1:4" x14ac:dyDescent="0.35">
      <c r="A179" s="29">
        <v>178</v>
      </c>
      <c r="B179" s="29"/>
      <c r="C179" s="29"/>
      <c r="D179" s="29"/>
    </row>
    <row r="180" spans="1:4" x14ac:dyDescent="0.35">
      <c r="A180" s="29">
        <v>179</v>
      </c>
      <c r="B180" s="29"/>
      <c r="C180" s="29"/>
      <c r="D180" s="29"/>
    </row>
    <row r="181" spans="1:4" x14ac:dyDescent="0.35">
      <c r="A181" s="29">
        <v>180</v>
      </c>
      <c r="B181" s="29"/>
      <c r="C181" s="29"/>
      <c r="D181" s="29"/>
    </row>
    <row r="182" spans="1:4" x14ac:dyDescent="0.35">
      <c r="A182" s="29">
        <v>181</v>
      </c>
      <c r="B182" s="29"/>
      <c r="C182" s="29"/>
      <c r="D182" s="29"/>
    </row>
    <row r="183" spans="1:4" x14ac:dyDescent="0.35">
      <c r="A183" s="29">
        <v>182</v>
      </c>
      <c r="B183" s="29"/>
      <c r="C183" s="29"/>
      <c r="D183" s="29"/>
    </row>
    <row r="184" spans="1:4" x14ac:dyDescent="0.35">
      <c r="A184" s="29">
        <v>183</v>
      </c>
      <c r="B184" s="29"/>
      <c r="C184" s="29"/>
      <c r="D184" s="29"/>
    </row>
    <row r="185" spans="1:4" x14ac:dyDescent="0.35">
      <c r="A185" s="29">
        <v>184</v>
      </c>
      <c r="B185" s="29"/>
      <c r="C185" s="29"/>
      <c r="D185" s="29"/>
    </row>
    <row r="186" spans="1:4" x14ac:dyDescent="0.35">
      <c r="A186" s="29">
        <v>185</v>
      </c>
      <c r="B186" s="29"/>
      <c r="C186" s="29"/>
      <c r="D186" s="29"/>
    </row>
    <row r="187" spans="1:4" x14ac:dyDescent="0.35">
      <c r="A187" s="29">
        <v>186</v>
      </c>
      <c r="B187" s="29"/>
      <c r="C187" s="29"/>
      <c r="D187" s="29"/>
    </row>
    <row r="188" spans="1:4" x14ac:dyDescent="0.35">
      <c r="A188" s="29">
        <v>187</v>
      </c>
      <c r="B188" s="29"/>
      <c r="C188" s="29"/>
      <c r="D188" s="29"/>
    </row>
    <row r="189" spans="1:4" x14ac:dyDescent="0.35">
      <c r="A189" s="29">
        <v>188</v>
      </c>
      <c r="B189" s="29"/>
      <c r="C189" s="29"/>
      <c r="D189" s="29"/>
    </row>
    <row r="190" spans="1:4" x14ac:dyDescent="0.35">
      <c r="A190" s="29">
        <v>189</v>
      </c>
      <c r="B190" s="29"/>
      <c r="C190" s="29"/>
      <c r="D190" s="29"/>
    </row>
    <row r="191" spans="1:4" x14ac:dyDescent="0.35">
      <c r="A191" s="29">
        <v>190</v>
      </c>
      <c r="B191" s="29"/>
      <c r="C191" s="29"/>
      <c r="D191" s="29"/>
    </row>
    <row r="192" spans="1:4" x14ac:dyDescent="0.35">
      <c r="A192" s="29">
        <v>191</v>
      </c>
      <c r="B192" s="29"/>
      <c r="C192" s="29"/>
      <c r="D192" s="29"/>
    </row>
    <row r="193" spans="1:4" x14ac:dyDescent="0.35">
      <c r="A193" s="29">
        <v>192</v>
      </c>
      <c r="B193" s="29"/>
      <c r="C193" s="29"/>
      <c r="D193" s="29"/>
    </row>
    <row r="194" spans="1:4" x14ac:dyDescent="0.35">
      <c r="A194" s="29">
        <v>193</v>
      </c>
      <c r="B194" s="29"/>
      <c r="C194" s="29"/>
      <c r="D194" s="29"/>
    </row>
    <row r="195" spans="1:4" x14ac:dyDescent="0.35">
      <c r="A195" s="29">
        <v>194</v>
      </c>
      <c r="B195" s="29"/>
      <c r="C195" s="29"/>
      <c r="D195" s="29"/>
    </row>
    <row r="196" spans="1:4" x14ac:dyDescent="0.35">
      <c r="A196" s="29">
        <v>195</v>
      </c>
      <c r="B196" s="29"/>
      <c r="C196" s="29"/>
      <c r="D196" s="29"/>
    </row>
    <row r="197" spans="1:4" x14ac:dyDescent="0.35">
      <c r="A197" s="29">
        <v>196</v>
      </c>
      <c r="B197" s="29"/>
      <c r="C197" s="29"/>
      <c r="D197" s="29"/>
    </row>
    <row r="198" spans="1:4" x14ac:dyDescent="0.35">
      <c r="A198" s="29">
        <v>197</v>
      </c>
      <c r="B198" s="29"/>
      <c r="C198" s="29"/>
      <c r="D198" s="29"/>
    </row>
    <row r="199" spans="1:4" x14ac:dyDescent="0.35">
      <c r="A199" s="29">
        <v>198</v>
      </c>
      <c r="B199" s="29"/>
      <c r="C199" s="29"/>
      <c r="D199" s="29"/>
    </row>
    <row r="200" spans="1:4" x14ac:dyDescent="0.35">
      <c r="A200" s="29">
        <v>199</v>
      </c>
      <c r="B200" s="29"/>
      <c r="C200" s="29"/>
      <c r="D200" s="29"/>
    </row>
    <row r="201" spans="1:4" x14ac:dyDescent="0.35">
      <c r="A201" s="29">
        <v>200</v>
      </c>
      <c r="B201" s="29"/>
      <c r="C201" s="29"/>
      <c r="D201" s="29"/>
    </row>
  </sheetData>
  <dataValidations count="2">
    <dataValidation type="whole" allowBlank="1" showInputMessage="1" showErrorMessage="1" sqref="B1:B1048576" xr:uid="{660DBC87-6C79-41E4-84BE-3F2C11C11947}">
      <formula1>0</formula1>
      <formula2>1000000</formula2>
    </dataValidation>
    <dataValidation type="whole" allowBlank="1" showInputMessage="1" showErrorMessage="1" sqref="C1:C1048576" xr:uid="{FDA9A814-9E38-4CA6-B44B-596AE0652496}">
      <formula1>0</formula1>
      <formula2>10000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pane ySplit="4" topLeftCell="A5" activePane="bottomLeft" state="frozen"/>
      <selection pane="bottomLeft" activeCell="B41" sqref="B41"/>
    </sheetView>
  </sheetViews>
  <sheetFormatPr defaultRowHeight="14.5" x14ac:dyDescent="0.35"/>
  <cols>
    <col min="1" max="1" width="53" bestFit="1" customWidth="1"/>
    <col min="2" max="2" width="24.90625" customWidth="1"/>
    <col min="3" max="3" width="48.26953125" bestFit="1" customWidth="1"/>
    <col min="4" max="4" width="22.08984375" bestFit="1" customWidth="1"/>
    <col min="5" max="5" width="33.1796875" bestFit="1" customWidth="1"/>
  </cols>
  <sheetData>
    <row r="1" spans="1:5" ht="21" x14ac:dyDescent="0.5">
      <c r="A1" s="1" t="s">
        <v>3</v>
      </c>
    </row>
    <row r="2" spans="1:5" x14ac:dyDescent="0.35">
      <c r="A2" s="5" t="s">
        <v>4</v>
      </c>
    </row>
    <row r="4" spans="1:5" ht="17" x14ac:dyDescent="0.4">
      <c r="A4" s="6" t="s">
        <v>5</v>
      </c>
      <c r="D4" s="7" t="s">
        <v>6</v>
      </c>
      <c r="E4" s="8"/>
    </row>
    <row r="5" spans="1:5" ht="26" x14ac:dyDescent="0.35">
      <c r="A5" s="4" t="s">
        <v>7</v>
      </c>
      <c r="B5" s="9" t="s">
        <v>8</v>
      </c>
      <c r="C5" s="10" t="s">
        <v>9</v>
      </c>
      <c r="D5" s="11">
        <f>B36</f>
        <v>7</v>
      </c>
      <c r="E5" s="8"/>
    </row>
    <row r="6" spans="1:5" ht="15.5" x14ac:dyDescent="0.35">
      <c r="A6" s="4" t="s">
        <v>10</v>
      </c>
      <c r="B6" s="9" t="s">
        <v>11</v>
      </c>
      <c r="C6" s="10" t="s">
        <v>12</v>
      </c>
      <c r="D6" s="12" t="s">
        <v>13</v>
      </c>
      <c r="E6" s="13">
        <f>B35</f>
        <v>128.04160475413582</v>
      </c>
    </row>
    <row r="7" spans="1:5" ht="58" x14ac:dyDescent="0.35">
      <c r="A7" s="4" t="s">
        <v>14</v>
      </c>
      <c r="B7" s="14">
        <v>20</v>
      </c>
      <c r="C7" s="10" t="s">
        <v>15</v>
      </c>
      <c r="D7" s="15" t="s">
        <v>16</v>
      </c>
      <c r="E7" s="16" t="s">
        <v>17</v>
      </c>
    </row>
    <row r="8" spans="1:5" x14ac:dyDescent="0.35">
      <c r="A8" s="4" t="s">
        <v>18</v>
      </c>
      <c r="B8" s="9" t="s">
        <v>19</v>
      </c>
      <c r="C8" s="10" t="s">
        <v>20</v>
      </c>
    </row>
    <row r="9" spans="1:5" x14ac:dyDescent="0.35">
      <c r="A9" s="4" t="s">
        <v>21</v>
      </c>
      <c r="B9" s="17"/>
      <c r="C9" s="10" t="s">
        <v>22</v>
      </c>
    </row>
    <row r="10" spans="1:5" x14ac:dyDescent="0.35">
      <c r="A10" s="4" t="s">
        <v>23</v>
      </c>
      <c r="B10" s="17">
        <v>0.95</v>
      </c>
      <c r="C10" s="10" t="s">
        <v>24</v>
      </c>
    </row>
    <row r="11" spans="1:5" x14ac:dyDescent="0.35">
      <c r="A11" s="8"/>
      <c r="B11" s="8"/>
      <c r="C11" s="8"/>
    </row>
    <row r="12" spans="1:5" ht="17" x14ac:dyDescent="0.4">
      <c r="A12" s="7" t="s">
        <v>25</v>
      </c>
      <c r="B12" s="8"/>
      <c r="C12" s="8"/>
    </row>
    <row r="13" spans="1:5" x14ac:dyDescent="0.35">
      <c r="A13" s="4" t="s">
        <v>26</v>
      </c>
      <c r="B13" s="33">
        <f>IFERROR(AVERAGEIF(Data!B2:B201,"&gt;0"),"")</f>
        <v>20.399999999999999</v>
      </c>
      <c r="C13" s="18" t="s">
        <v>27</v>
      </c>
    </row>
    <row r="14" spans="1:5" x14ac:dyDescent="0.35">
      <c r="A14" s="4" t="s">
        <v>28</v>
      </c>
      <c r="B14" s="33">
        <f>_xlfn.PERCENTILE.INC(Data!B2:B201, 0.9)</f>
        <v>23.1</v>
      </c>
      <c r="C14" s="18" t="s">
        <v>27</v>
      </c>
    </row>
    <row r="15" spans="1:5" x14ac:dyDescent="0.35">
      <c r="A15" s="4" t="s">
        <v>29</v>
      </c>
      <c r="B15" s="33">
        <f>_xlfn.STDEV.S(Data!B2:B201)</f>
        <v>2.143152688978526</v>
      </c>
      <c r="C15" s="18" t="s">
        <v>27</v>
      </c>
    </row>
    <row r="16" spans="1:5" x14ac:dyDescent="0.35">
      <c r="A16" s="4" t="s">
        <v>30</v>
      </c>
      <c r="B16" s="33">
        <f>IFERROR(AVERAGEIF(Data!C2:C201,"&gt;0"),"")</f>
        <v>3.9333333333333331</v>
      </c>
      <c r="C16" s="18" t="s">
        <v>27</v>
      </c>
    </row>
    <row r="17" spans="1:3" x14ac:dyDescent="0.35">
      <c r="A17" s="4" t="s">
        <v>31</v>
      </c>
      <c r="B17" s="33">
        <f>_xlfn.PERCENTILE.INC(Data!C2:C201, 0.9)</f>
        <v>5</v>
      </c>
      <c r="C17" s="18" t="s">
        <v>27</v>
      </c>
    </row>
    <row r="18" spans="1:3" x14ac:dyDescent="0.35">
      <c r="A18" s="4" t="s">
        <v>32</v>
      </c>
      <c r="B18" s="33">
        <f>IFERROR(MAX(Data!C2:C201),"")</f>
        <v>5</v>
      </c>
      <c r="C18" s="18" t="s">
        <v>27</v>
      </c>
    </row>
    <row r="19" spans="1:3" x14ac:dyDescent="0.35">
      <c r="A19" s="4" t="s">
        <v>33</v>
      </c>
      <c r="B19" s="33">
        <f>_xlfn.STDEV.S(Data!C2:C201)</f>
        <v>0.7396799556440673</v>
      </c>
      <c r="C19" s="18" t="s">
        <v>27</v>
      </c>
    </row>
    <row r="20" spans="1:3" x14ac:dyDescent="0.35">
      <c r="A20" s="8"/>
      <c r="B20" s="8"/>
      <c r="C20" s="8"/>
    </row>
    <row r="21" spans="1:3" x14ac:dyDescent="0.35">
      <c r="A21" s="8"/>
      <c r="B21" s="8"/>
      <c r="C21" s="8"/>
    </row>
    <row r="22" spans="1:3" ht="17" x14ac:dyDescent="0.4">
      <c r="A22" s="7" t="s">
        <v>34</v>
      </c>
      <c r="B22" s="8"/>
      <c r="C22" s="8"/>
    </row>
    <row r="23" spans="1:3" x14ac:dyDescent="0.35">
      <c r="A23" s="8" t="s">
        <v>35</v>
      </c>
      <c r="B23">
        <f>IF(B5="Average", B13, B14)</f>
        <v>20.399999999999999</v>
      </c>
      <c r="C23" s="8"/>
    </row>
    <row r="24" spans="1:3" x14ac:dyDescent="0.35">
      <c r="A24" s="8" t="s">
        <v>36</v>
      </c>
      <c r="B24" s="34">
        <f>IF(B6="Average", B16, IF(B6="P90", B17, B18))</f>
        <v>5</v>
      </c>
      <c r="C24" s="8"/>
    </row>
    <row r="25" spans="1:3" x14ac:dyDescent="0.35">
      <c r="A25" s="8" t="s">
        <v>37</v>
      </c>
      <c r="B25" s="34">
        <f>_xlfn.NORM.S.INV(B10)</f>
        <v>1.6448536269514715</v>
      </c>
      <c r="C25" s="8"/>
    </row>
    <row r="26" spans="1:3" x14ac:dyDescent="0.35">
      <c r="A26" s="8"/>
      <c r="B26" s="8"/>
      <c r="C26" s="8"/>
    </row>
    <row r="27" spans="1:3" ht="17" x14ac:dyDescent="0.4">
      <c r="A27" s="7" t="s">
        <v>38</v>
      </c>
      <c r="B27" s="8"/>
      <c r="C27" s="8"/>
    </row>
    <row r="28" spans="1:3" x14ac:dyDescent="0.35">
      <c r="A28" s="8" t="s">
        <v>39</v>
      </c>
      <c r="B28" s="34">
        <f>B23*B24</f>
        <v>102</v>
      </c>
      <c r="C28" s="8"/>
    </row>
    <row r="29" spans="1:3" x14ac:dyDescent="0.35">
      <c r="A29" s="8" t="s">
        <v>40</v>
      </c>
      <c r="B29" s="20">
        <f>ROUNDUP(B28,0)</f>
        <v>102</v>
      </c>
      <c r="C29" s="8"/>
    </row>
    <row r="30" spans="1:3" x14ac:dyDescent="0.35">
      <c r="A30" s="8"/>
      <c r="B30" s="8"/>
      <c r="C30" s="8"/>
    </row>
    <row r="31" spans="1:3" x14ac:dyDescent="0.35">
      <c r="A31" s="8" t="s">
        <v>41</v>
      </c>
      <c r="B31" s="34">
        <f>SQRT( (B24 * B15^2) + (B23^2 * B19^2) )</f>
        <v>15.832171524222884</v>
      </c>
      <c r="C31" s="8"/>
    </row>
    <row r="32" spans="1:3" x14ac:dyDescent="0.35">
      <c r="A32" s="8" t="s">
        <v>42</v>
      </c>
      <c r="B32" s="34">
        <f>B25 * B31</f>
        <v>26.041604754135818</v>
      </c>
      <c r="C32" s="8"/>
    </row>
    <row r="33" spans="1:3" x14ac:dyDescent="0.35">
      <c r="A33" s="8" t="s">
        <v>43</v>
      </c>
      <c r="B33" s="19" t="str">
        <f>IF($B$8="Percent",B28*$B$9,"")</f>
        <v/>
      </c>
      <c r="C33" s="8"/>
    </row>
    <row r="34" spans="1:3" x14ac:dyDescent="0.35">
      <c r="A34" s="8"/>
      <c r="B34" s="8"/>
      <c r="C34" s="8"/>
    </row>
    <row r="35" spans="1:3" x14ac:dyDescent="0.35">
      <c r="A35" s="8" t="s">
        <v>44</v>
      </c>
      <c r="B35" s="34">
        <f>B29 + B32</f>
        <v>128.04160475413582</v>
      </c>
      <c r="C35" s="8"/>
    </row>
    <row r="36" spans="1:3" x14ac:dyDescent="0.35">
      <c r="A36" s="8" t="s">
        <v>45</v>
      </c>
      <c r="B36" s="20">
        <f>IFERROR(ROUNDUP(B35 / $B$7, 0), "")</f>
        <v>7</v>
      </c>
      <c r="C36" s="8"/>
    </row>
    <row r="39" spans="1:3" ht="17" x14ac:dyDescent="0.4">
      <c r="A39" s="21" t="s">
        <v>46</v>
      </c>
    </row>
    <row r="40" spans="1:3" x14ac:dyDescent="0.35">
      <c r="A40" t="s">
        <v>47</v>
      </c>
      <c r="B40" s="22">
        <f>COUNT(Data!B2:B201)</f>
        <v>30</v>
      </c>
    </row>
    <row r="41" spans="1:3" x14ac:dyDescent="0.35">
      <c r="A41" t="s">
        <v>48</v>
      </c>
      <c r="B41" s="22">
        <f>COUNT(Data!C2:C201)</f>
        <v>30</v>
      </c>
    </row>
    <row r="42" spans="1:3" x14ac:dyDescent="0.35">
      <c r="A42" s="5" t="s">
        <v>49</v>
      </c>
    </row>
  </sheetData>
  <dataValidations count="3">
    <dataValidation type="list" sqref="B5" xr:uid="{00000000-0002-0000-0200-000000000000}">
      <formula1>"Average,P90"</formula1>
    </dataValidation>
    <dataValidation type="list" sqref="B6" xr:uid="{00000000-0002-0000-0200-000001000000}">
      <formula1>"Average,P90,Max"</formula1>
    </dataValidation>
    <dataValidation type="list" sqref="B8" xr:uid="{00000000-0002-0000-0200-000002000000}">
      <formula1>"Percent,Service Level (Z)"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DA9E-9C43-4115-AF3E-F11D7DE8B7BD}">
  <dimension ref="A1"/>
  <sheetViews>
    <sheetView workbookViewId="0">
      <selection activeCell="AC21" sqref="AC2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</vt:lpstr>
      <vt:lpstr>Model</vt:lpstr>
      <vt:lpstr>Math (Referance)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Aaron</cp:lastModifiedBy>
  <dcterms:created xsi:type="dcterms:W3CDTF">2026-01-01T21:54:53Z</dcterms:created>
  <dcterms:modified xsi:type="dcterms:W3CDTF">2026-01-03T03:40:23Z</dcterms:modified>
</cp:coreProperties>
</file>