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kc06\OneDrive\"/>
    </mc:Choice>
  </mc:AlternateContent>
  <xr:revisionPtr revIDLastSave="0" documentId="13_ncr:1_{4EF209ED-D793-492E-831A-3D5ADCFFAD63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7" i="3"/>
  <c r="B24" i="3" s="1"/>
  <c r="B19" i="3"/>
  <c r="B25" i="3"/>
  <c r="B41" i="3"/>
  <c r="B40" i="3"/>
  <c r="B33" i="3"/>
  <c r="B18" i="3"/>
  <c r="B16" i="3"/>
  <c r="B13" i="3"/>
  <c r="B23" i="3" s="1"/>
  <c r="B31" i="3" l="1"/>
  <c r="B32" i="3" s="1"/>
  <c r="B28" i="3"/>
  <c r="B29" i="3" s="1"/>
  <c r="B35" i="3" l="1"/>
  <c r="B36" i="3" s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<sst xmlns="http://schemas.openxmlformats.org/spreadsheetml/2006/main" count="58" uniqueCount="52">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</sst>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30</xdr:col>
      <xdr:colOff>6350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829435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</a:p>
        <a:p>
          <a:pPr algn="ctr"/>
          <a:r>
            <a:rPr lang="en-US" sz="2000" b="0"/>
            <a:t>(with service-level</a:t>
          </a:r>
          <a:r>
            <a:rPr lang="en-US" sz="2000" b="0" baseline="0"/>
            <a:t> safety stock and demand/lead-time variability)</a:t>
          </a:r>
          <a:endParaRPr lang="en-US" sz="2000" b="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endParaRPr lang="en-US" sz="1400" b="0"/>
        </a:p>
        <a:p>
          <a:r>
            <a:rPr lang="en-US" sz="1400" b="0"/>
            <a:t>This</a:t>
          </a:r>
          <a:r>
            <a:rPr lang="en-US" sz="1400" b="0" baseline="0"/>
            <a:t> workbook is a planning and sizing tool that estimates the recommeded number of kanban cards </a:t>
          </a:r>
          <a:r>
            <a:rPr lang="en-US" sz="1400"/>
            <a:t>(containers) and the reorder point required to support a given demand and lead-time profile under a selected safety policy. 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407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30</xdr:col>
      <xdr:colOff>6350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792480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29</xdr:col>
      <xdr:colOff>603250</xdr:colOff>
      <xdr:row>34</xdr:row>
      <xdr:rowOff>12700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7899400" cy="165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Periods are consistent (e.g., daily or weekly measurements are not mixed)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The model is intended for planning and scenario analysis, not for real-time operational execution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Results are sensitive to the quality and representativeness of the historical data provided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</a:extLst>
        </xdr:cNvPr>
        <xdr:cNvSpPr txBox="1"/>
      </xdr:nvSpPr>
      <xdr:spPr>
        <a:xfrm>
          <a:off x="44450" y="4616450"/>
          <a:ext cx="6057900" cy="551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2 — Equations </a:t>
          </a:r>
        </a:p>
        <a:p>
          <a:endParaRPr lang="en-US" sz="1600"/>
        </a:p>
        <a:p>
          <a:r>
            <a:rPr lang="en-US" sz="1600"/>
            <a:t>Lead-time demand:</a:t>
          </a:r>
        </a:p>
        <a:p>
          <a:r>
            <a:rPr lang="en-US" sz="1600"/>
            <a:t>                                                      LTD = D * L</a:t>
          </a:r>
        </a:p>
        <a:p>
          <a:r>
            <a:rPr lang="en-US" sz="1600"/>
            <a:t>Variability during lead time:</a:t>
          </a:r>
        </a:p>
        <a:p>
          <a:r>
            <a:rPr lang="en-US" sz="1600"/>
            <a:t>                                                    </a:t>
          </a:r>
          <a:r>
            <a:rPr lang="el-GR" sz="1600"/>
            <a:t>σ_</a:t>
          </a:r>
          <a:r>
            <a:rPr lang="en-US" sz="1600"/>
            <a:t>LT = sqrt( L * </a:t>
          </a:r>
          <a:r>
            <a:rPr lang="el-GR" sz="1600"/>
            <a:t>σ_</a:t>
          </a:r>
          <a:r>
            <a:rPr lang="en-US" sz="1600"/>
            <a:t>D^2 + D^2 * </a:t>
          </a:r>
          <a:r>
            <a:rPr lang="el-GR" sz="1600"/>
            <a:t>σ_</a:t>
          </a:r>
          <a:r>
            <a:rPr lang="en-US" sz="1600"/>
            <a:t>L^2 )</a:t>
          </a:r>
        </a:p>
        <a:p>
          <a:r>
            <a:rPr lang="en-US" sz="1600"/>
            <a:t>Safety stock:</a:t>
          </a:r>
        </a:p>
        <a:p>
          <a:endParaRPr lang="en-US" sz="1600"/>
        </a:p>
        <a:p>
          <a:r>
            <a:rPr lang="en-US" sz="1600"/>
            <a:t>Percent method:</a:t>
          </a:r>
        </a:p>
        <a:p>
          <a:r>
            <a:rPr lang="en-US" sz="1600"/>
            <a:t>                                                   SS = p * LTD</a:t>
          </a:r>
        </a:p>
        <a:p>
          <a:endParaRPr lang="en-US" sz="1600"/>
        </a:p>
        <a:p>
          <a:r>
            <a:rPr lang="en-US" sz="1600"/>
            <a:t>Z-method:</a:t>
          </a:r>
        </a:p>
        <a:p>
          <a:r>
            <a:rPr lang="en-US" sz="1600"/>
            <a:t>                                                  SS = Z * </a:t>
          </a:r>
          <a:r>
            <a:rPr lang="el-GR" sz="1600"/>
            <a:t>σ_</a:t>
          </a:r>
          <a:r>
            <a:rPr lang="en-US" sz="1600"/>
            <a:t>LT</a:t>
          </a:r>
        </a:p>
        <a:p>
          <a:endParaRPr lang="en-US" sz="1600"/>
        </a:p>
        <a:p>
          <a:r>
            <a:rPr lang="en-US" sz="1600"/>
            <a:t>Reorder point:</a:t>
          </a:r>
        </a:p>
        <a:p>
          <a:r>
            <a:rPr lang="en-US" sz="1600"/>
            <a:t>                                                 ROP = LTD + SS</a:t>
          </a:r>
        </a:p>
        <a:p>
          <a:endParaRPr lang="en-US" sz="1600"/>
        </a:p>
        <a:p>
          <a:r>
            <a:rPr lang="en-US" sz="1600"/>
            <a:t>Kanban cards:</a:t>
          </a:r>
        </a:p>
        <a:p>
          <a:r>
            <a:rPr lang="en-US" sz="1600"/>
            <a:t>                                                N = ROUNDUP( ROP / C )</a:t>
          </a:r>
        </a:p>
        <a:p>
          <a:endParaRPr lang="en-US" sz="1600"/>
        </a:p>
        <a:p>
          <a:r>
            <a:rPr lang="en-US" sz="1400"/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43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20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35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:r>
                <a:rPr lang="ar-AE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(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45</xdr:row>
      <xdr:rowOff>19050</xdr:rowOff>
    </xdr:from>
    <xdr:to>
      <xdr:col>22</xdr:col>
      <xdr:colOff>19050</xdr:colOff>
      <xdr:row>54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8305800"/>
          <a:ext cx="6718300" cy="1809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R45" sqref="R45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B32" sqref="B32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>
        <v>19</v>
      </c>
      <c r="C22" s="29">
        <v>4</v>
      </c>
      <c r="D22" s="29"/>
    </row>
    <row r="23" spans="1:4" x14ac:dyDescent="0.35">
      <c r="A23" s="29">
        <v>22</v>
      </c>
      <c r="B23" s="29">
        <v>22</v>
      </c>
      <c r="C23" s="29">
        <v>5</v>
      </c>
      <c r="D23" s="29"/>
    </row>
    <row r="24" spans="1:4" x14ac:dyDescent="0.35">
      <c r="A24" s="29">
        <v>23</v>
      </c>
      <c r="B24" s="29">
        <v>18</v>
      </c>
      <c r="C24" s="29">
        <v>3</v>
      </c>
      <c r="D24" s="29"/>
    </row>
    <row r="25" spans="1:4" x14ac:dyDescent="0.35">
      <c r="A25" s="29">
        <v>24</v>
      </c>
      <c r="B25" s="29">
        <v>23</v>
      </c>
      <c r="C25" s="29">
        <v>4</v>
      </c>
      <c r="D25" s="29"/>
    </row>
    <row r="26" spans="1:4" x14ac:dyDescent="0.35">
      <c r="A26" s="29">
        <v>25</v>
      </c>
      <c r="B26" s="29">
        <v>20</v>
      </c>
      <c r="C26" s="29">
        <v>4</v>
      </c>
      <c r="D26" s="29"/>
    </row>
    <row r="27" spans="1:4" x14ac:dyDescent="0.35">
      <c r="A27" s="29">
        <v>26</v>
      </c>
      <c r="B27" s="29">
        <v>21</v>
      </c>
      <c r="C27" s="29">
        <v>5</v>
      </c>
      <c r="D27" s="29"/>
    </row>
    <row r="28" spans="1:4" x14ac:dyDescent="0.35">
      <c r="A28" s="29">
        <v>27</v>
      </c>
      <c r="B28" s="29">
        <v>17</v>
      </c>
      <c r="C28" s="29">
        <v>3</v>
      </c>
      <c r="D28" s="29"/>
    </row>
    <row r="29" spans="1:4" x14ac:dyDescent="0.35">
      <c r="A29" s="29">
        <v>28</v>
      </c>
      <c r="B29" s="29">
        <v>24</v>
      </c>
      <c r="C29" s="29">
        <v>4</v>
      </c>
      <c r="D29" s="29"/>
    </row>
    <row r="30" spans="1:4" x14ac:dyDescent="0.35">
      <c r="A30" s="29">
        <v>29</v>
      </c>
      <c r="B30" s="29">
        <v>19</v>
      </c>
      <c r="C30" s="29">
        <v>4</v>
      </c>
      <c r="D30" s="29"/>
    </row>
    <row r="31" spans="1:4" x14ac:dyDescent="0.35">
      <c r="A31" s="29">
        <v>30</v>
      </c>
      <c r="B31" s="29">
        <v>22</v>
      </c>
      <c r="C31" s="29">
        <v>5</v>
      </c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41" sqref="B41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128.04160475413582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20.399999999999999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2.143152688978526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3.9333333333333331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0.7396799556440673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20.399999999999999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102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15.832171524222884</v>
      </c>
      <c r="C31" s="8"/>
    </row>
    <row r="32" spans="1:3" x14ac:dyDescent="0.35">
      <c r="A32" s="8" t="s">
        <v>42</v>
      </c>
      <c r="B32" s="34">
        <f>B25 * B31</f>
        <v>26.041604754135818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128.04160475413582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30</v>
      </c>
    </row>
    <row r="41" spans="1:3" x14ac:dyDescent="0.35">
      <c r="A41" t="s">
        <v>48</v>
      </c>
      <c r="B41" s="22">
        <f>COUNT(Data!C2:C201)</f>
        <v>30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workbookViewId="0">
      <selection activeCell="AC21" sqref="AC21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2026-02-17T05:25:46Z</dcterms:modified>
</cp:coreProperties>
</file>